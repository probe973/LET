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eanorwich.sharepoint.com/sites/LET-MathsandStats/Shared Documents/Maths and Stats/Workshops/NBS JW/"/>
    </mc:Choice>
  </mc:AlternateContent>
  <xr:revisionPtr revIDLastSave="100" documentId="8_{8FB6C184-18D3-4049-8E04-66DA3BE58D72}" xr6:coauthVersionLast="47" xr6:coauthVersionMax="47" xr10:uidLastSave="{AC99FF52-87D3-4A4A-AD87-96BE52F4734C}"/>
  <bookViews>
    <workbookView xWindow="-110" yWindow="-110" windowWidth="19420" windowHeight="10300" xr2:uid="{2FE2A4D7-BBDF-4365-BA0A-E633F70D63E5}"/>
  </bookViews>
  <sheets>
    <sheet name="Index Numbers" sheetId="1" r:id="rId1"/>
    <sheet name="Inflation" sheetId="2" r:id="rId2"/>
    <sheet name="Moving Averages" sheetId="3" r:id="rId3"/>
    <sheet name="Descriptive Statistics Review" sheetId="4" r:id="rId4"/>
    <sheet name="Solutions Index Numbers" sheetId="5" r:id="rId5"/>
    <sheet name="Solutions Inflation" sheetId="6" r:id="rId6"/>
    <sheet name="Solutions Moving Averages" sheetId="7" r:id="rId7"/>
    <sheet name="SolutionsDescriptive Statistics" sheetId="8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5" l="1"/>
  <c r="C50" i="5"/>
  <c r="C48" i="5"/>
  <c r="S22" i="5"/>
  <c r="H17" i="8"/>
  <c r="G17" i="8"/>
  <c r="F17" i="8"/>
  <c r="H15" i="8"/>
  <c r="G15" i="8"/>
  <c r="F15" i="8"/>
  <c r="H14" i="8"/>
  <c r="G14" i="8"/>
  <c r="F14" i="8"/>
  <c r="H13" i="8"/>
  <c r="G13" i="8"/>
  <c r="F13" i="8"/>
  <c r="H12" i="8"/>
  <c r="G12" i="8"/>
  <c r="F12" i="8"/>
  <c r="H11" i="8"/>
  <c r="G11" i="8"/>
  <c r="F11" i="8"/>
  <c r="H10" i="8"/>
  <c r="G10" i="8"/>
  <c r="F10" i="8"/>
  <c r="D64" i="7"/>
  <c r="D63" i="7"/>
  <c r="E64" i="7" s="1"/>
  <c r="D62" i="7"/>
  <c r="E63" i="7" s="1"/>
  <c r="D61" i="7"/>
  <c r="E62" i="7" s="1"/>
  <c r="D60" i="7"/>
  <c r="E61" i="7" s="1"/>
  <c r="D59" i="7"/>
  <c r="E60" i="7" s="1"/>
  <c r="D58" i="7"/>
  <c r="E59" i="7" s="1"/>
  <c r="D57" i="7"/>
  <c r="E58" i="7" s="1"/>
  <c r="D56" i="7"/>
  <c r="E57" i="7" s="1"/>
  <c r="D55" i="7"/>
  <c r="E56" i="7" s="1"/>
  <c r="D54" i="7"/>
  <c r="E55" i="7" s="1"/>
  <c r="D53" i="7"/>
  <c r="E54" i="7" s="1"/>
  <c r="D52" i="7"/>
  <c r="E53" i="7" s="1"/>
  <c r="D51" i="7"/>
  <c r="E52" i="7" s="1"/>
  <c r="D50" i="7"/>
  <c r="E51" i="7" s="1"/>
  <c r="D49" i="7"/>
  <c r="E50" i="7" s="1"/>
  <c r="D48" i="7"/>
  <c r="E49" i="7" s="1"/>
  <c r="D47" i="7"/>
  <c r="E48" i="7" s="1"/>
  <c r="D46" i="7"/>
  <c r="E47" i="7" s="1"/>
  <c r="D45" i="7"/>
  <c r="E46" i="7" s="1"/>
  <c r="D44" i="7"/>
  <c r="E45" i="7" s="1"/>
  <c r="D43" i="7"/>
  <c r="E44" i="7" s="1"/>
  <c r="D42" i="7"/>
  <c r="E43" i="7" s="1"/>
  <c r="D41" i="7"/>
  <c r="E42" i="7" s="1"/>
  <c r="D40" i="7"/>
  <c r="E41" i="7" s="1"/>
  <c r="D39" i="7"/>
  <c r="E40" i="7" s="1"/>
  <c r="D38" i="7"/>
  <c r="E39" i="7" s="1"/>
  <c r="D37" i="7"/>
  <c r="E38" i="7" s="1"/>
  <c r="D36" i="7"/>
  <c r="E37" i="7" s="1"/>
  <c r="D35" i="7"/>
  <c r="E36" i="7" s="1"/>
  <c r="D34" i="7"/>
  <c r="E35" i="7" s="1"/>
  <c r="D33" i="7"/>
  <c r="E34" i="7" s="1"/>
  <c r="D32" i="7"/>
  <c r="E33" i="7" s="1"/>
  <c r="D31" i="7"/>
  <c r="E32" i="7" s="1"/>
  <c r="D30" i="7"/>
  <c r="E31" i="7" s="1"/>
  <c r="D29" i="7"/>
  <c r="E30" i="7" s="1"/>
  <c r="D28" i="7"/>
  <c r="E29" i="7" s="1"/>
  <c r="D27" i="7"/>
  <c r="E28" i="7" s="1"/>
  <c r="D26" i="7"/>
  <c r="E27" i="7" s="1"/>
  <c r="D25" i="7"/>
  <c r="E26" i="7" s="1"/>
  <c r="D24" i="7"/>
  <c r="E25" i="7" s="1"/>
  <c r="D23" i="7"/>
  <c r="E24" i="7" s="1"/>
  <c r="D22" i="7"/>
  <c r="E23" i="7" s="1"/>
  <c r="D21" i="7"/>
  <c r="E22" i="7" s="1"/>
  <c r="D20" i="7"/>
  <c r="E21" i="7" s="1"/>
  <c r="D19" i="7"/>
  <c r="E20" i="7" s="1"/>
  <c r="D18" i="7"/>
  <c r="E19" i="7" s="1"/>
  <c r="D17" i="7"/>
  <c r="E18" i="7" s="1"/>
  <c r="D16" i="7"/>
  <c r="E17" i="7" s="1"/>
  <c r="E56" i="6"/>
  <c r="F15" i="6"/>
  <c r="C23" i="6" s="1"/>
  <c r="F14" i="6"/>
  <c r="C22" i="6" s="1"/>
  <c r="F13" i="6"/>
  <c r="C21" i="6" s="1"/>
  <c r="D21" i="6" s="1"/>
  <c r="F12" i="6"/>
  <c r="C20" i="6" s="1"/>
  <c r="D20" i="6" s="1"/>
  <c r="D47" i="5"/>
  <c r="D46" i="5"/>
  <c r="D45" i="5"/>
  <c r="D44" i="5"/>
  <c r="D43" i="5"/>
  <c r="S30" i="5"/>
  <c r="F16" i="8" l="1"/>
  <c r="G16" i="8"/>
  <c r="H16" i="8"/>
  <c r="D44" i="6"/>
  <c r="D22" i="6"/>
  <c r="D34" i="6" s="1"/>
  <c r="D45" i="6"/>
  <c r="D23" i="6"/>
  <c r="D35" i="6" s="1"/>
</calcChain>
</file>

<file path=xl/sharedStrings.xml><?xml version="1.0" encoding="utf-8"?>
<sst xmlns="http://schemas.openxmlformats.org/spreadsheetml/2006/main" count="93" uniqueCount="38">
  <si>
    <t>Year</t>
  </si>
  <si>
    <t>Price</t>
  </si>
  <si>
    <t>Index</t>
  </si>
  <si>
    <t>Population</t>
  </si>
  <si>
    <t>Salary</t>
  </si>
  <si>
    <t>Index Number</t>
  </si>
  <si>
    <t>Given the following costs, find the price of this basket of goods:</t>
  </si>
  <si>
    <t>Noodle Pot</t>
  </si>
  <si>
    <t>Cola</t>
  </si>
  <si>
    <t>Crisps</t>
  </si>
  <si>
    <t>Basket Cost</t>
  </si>
  <si>
    <t xml:space="preserve"> For these same data, calculate the CPI with 2016 as the base year.</t>
  </si>
  <si>
    <t>CPI</t>
  </si>
  <si>
    <t>From 2016</t>
  </si>
  <si>
    <t>Percentage change</t>
  </si>
  <si>
    <t>From 2015</t>
  </si>
  <si>
    <t>Salary equivalent</t>
  </si>
  <si>
    <t>Time Point</t>
  </si>
  <si>
    <t>Date</t>
  </si>
  <si>
    <t>Sales</t>
  </si>
  <si>
    <t>12-point MA</t>
  </si>
  <si>
    <t>CMA</t>
  </si>
  <si>
    <t>Class A</t>
  </si>
  <si>
    <t>Class B</t>
  </si>
  <si>
    <t>All</t>
  </si>
  <si>
    <t>N</t>
  </si>
  <si>
    <t>Mean</t>
  </si>
  <si>
    <t>Sample standard deviation</t>
  </si>
  <si>
    <t>Median</t>
  </si>
  <si>
    <t>Min</t>
  </si>
  <si>
    <t>Max</t>
  </si>
  <si>
    <t>Range</t>
  </si>
  <si>
    <t>Inter-quartile range</t>
  </si>
  <si>
    <t>Divide the 1973 salary by the index number for 1973 (to get the value for an index of 1) and then multiply by the index for 2019.</t>
  </si>
  <si>
    <t>There is a seasonal trend, with sales higher in the Northern hemisphere winter months.</t>
  </si>
  <si>
    <t>The company may sell something such as winter clothing.</t>
  </si>
  <si>
    <t>The trend of the sales is a gradual rise</t>
  </si>
  <si>
    <t>NBS-4107B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</si>
</sst>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8" formatCode="&quot;£&quot;#,##0.00;[Red]\-&quot;£&quot;#,##0.00"/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4"/>
      <name val="Aptos Narrow"/>
      <family val="2"/>
      <scheme val="minor"/>
    </font>
    <font>
      <sz val="14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6" fontId="2" fillId="0" borderId="0" xfId="0" applyNumberFormat="1" applyFont="1"/>
    <xf numFmtId="0" fontId="2" fillId="0" borderId="0" xfId="0" applyFont="1" applyAlignment="1">
      <alignment horizontal="center"/>
    </xf>
    <xf numFmtId="8" fontId="2" fillId="0" borderId="0" xfId="0" applyNumberFormat="1" applyFont="1" applyAlignment="1">
      <alignment horizontal="center"/>
    </xf>
    <xf numFmtId="17" fontId="0" fillId="0" borderId="0" xfId="0" applyNumberFormat="1"/>
    <xf numFmtId="0" fontId="1" fillId="0" borderId="0" xfId="0" applyFont="1"/>
    <xf numFmtId="164" fontId="3" fillId="0" borderId="0" xfId="0" applyNumberFormat="1" applyFont="1"/>
    <xf numFmtId="0" fontId="4" fillId="0" borderId="0" xfId="0" applyFont="1"/>
    <xf numFmtId="0" fontId="3" fillId="0" borderId="0" xfId="0" applyFont="1"/>
    <xf numFmtId="0" fontId="5" fillId="0" borderId="0" xfId="0" applyFont="1"/>
    <xf numFmtId="2" fontId="3" fillId="0" borderId="0" xfId="0" applyNumberFormat="1" applyFont="1"/>
    <xf numFmtId="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'Solutions Index Numbers'!$D$42</c:f>
              <c:strCache>
                <c:ptCount val="1"/>
                <c:pt idx="0">
                  <c:v>Index Number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'Solutions Index Numbers'!$B$43:$B$50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'Solutions Index Numbers'!$D$43:$D$50</c:f>
              <c:numCache>
                <c:formatCode>0.00</c:formatCode>
                <c:ptCount val="8"/>
                <c:pt idx="0">
                  <c:v>98.505823457294653</c:v>
                </c:pt>
                <c:pt idx="1">
                  <c:v>100</c:v>
                </c:pt>
                <c:pt idx="2">
                  <c:v>100</c:v>
                </c:pt>
                <c:pt idx="3">
                  <c:v>101.49928483857784</c:v>
                </c:pt>
                <c:pt idx="4">
                  <c:v>104.54382917858602</c:v>
                </c:pt>
                <c:pt idx="5" formatCode="General">
                  <c:v>108</c:v>
                </c:pt>
                <c:pt idx="6" formatCode="General">
                  <c:v>110.09</c:v>
                </c:pt>
                <c:pt idx="7" formatCode="General">
                  <c:v>115.1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5-4913-8906-ED61F4FB5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368488"/>
        <c:axId val="553364168"/>
      </c:lineChart>
      <c:catAx>
        <c:axId val="553368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364168"/>
        <c:crosses val="autoZero"/>
        <c:auto val="1"/>
        <c:lblAlgn val="ctr"/>
        <c:lblOffset val="100"/>
        <c:noMultiLvlLbl val="0"/>
      </c:catAx>
      <c:valAx>
        <c:axId val="55336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368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'[1]Moving Averages'!$C$10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'[1]Moving Averages'!$B$11:$B$70</c:f>
              <c:numCache>
                <c:formatCode>General</c:formatCode>
                <c:ptCount val="6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</c:numCache>
            </c:numRef>
          </c:cat>
          <c:val>
            <c:numRef>
              <c:f>'[1]Moving Averages'!$C$11:$C$70</c:f>
              <c:numCache>
                <c:formatCode>General</c:formatCode>
                <c:ptCount val="60"/>
                <c:pt idx="0">
                  <c:v>1048</c:v>
                </c:pt>
                <c:pt idx="1">
                  <c:v>1051</c:v>
                </c:pt>
                <c:pt idx="2">
                  <c:v>1017</c:v>
                </c:pt>
                <c:pt idx="3">
                  <c:v>1013</c:v>
                </c:pt>
                <c:pt idx="4">
                  <c:v>978</c:v>
                </c:pt>
                <c:pt idx="5">
                  <c:v>957</c:v>
                </c:pt>
                <c:pt idx="6">
                  <c:v>955</c:v>
                </c:pt>
                <c:pt idx="7">
                  <c:v>974</c:v>
                </c:pt>
                <c:pt idx="8">
                  <c:v>974</c:v>
                </c:pt>
                <c:pt idx="9">
                  <c:v>1021</c:v>
                </c:pt>
                <c:pt idx="10">
                  <c:v>1029</c:v>
                </c:pt>
                <c:pt idx="11">
                  <c:v>1057</c:v>
                </c:pt>
                <c:pt idx="12">
                  <c:v>1079</c:v>
                </c:pt>
                <c:pt idx="13">
                  <c:v>1063</c:v>
                </c:pt>
                <c:pt idx="14">
                  <c:v>1042</c:v>
                </c:pt>
                <c:pt idx="15">
                  <c:v>1024</c:v>
                </c:pt>
                <c:pt idx="16">
                  <c:v>992</c:v>
                </c:pt>
                <c:pt idx="17">
                  <c:v>992</c:v>
                </c:pt>
                <c:pt idx="18">
                  <c:v>959</c:v>
                </c:pt>
                <c:pt idx="19">
                  <c:v>979</c:v>
                </c:pt>
                <c:pt idx="20">
                  <c:v>985</c:v>
                </c:pt>
                <c:pt idx="21">
                  <c:v>1022</c:v>
                </c:pt>
                <c:pt idx="22">
                  <c:v>1060</c:v>
                </c:pt>
                <c:pt idx="23">
                  <c:v>1086</c:v>
                </c:pt>
                <c:pt idx="24">
                  <c:v>1091</c:v>
                </c:pt>
                <c:pt idx="25">
                  <c:v>1087</c:v>
                </c:pt>
                <c:pt idx="26">
                  <c:v>1074</c:v>
                </c:pt>
                <c:pt idx="27">
                  <c:v>1029</c:v>
                </c:pt>
                <c:pt idx="28">
                  <c:v>1019</c:v>
                </c:pt>
                <c:pt idx="29">
                  <c:v>999</c:v>
                </c:pt>
                <c:pt idx="30">
                  <c:v>1001</c:v>
                </c:pt>
                <c:pt idx="31">
                  <c:v>1014</c:v>
                </c:pt>
                <c:pt idx="32">
                  <c:v>1024</c:v>
                </c:pt>
                <c:pt idx="33">
                  <c:v>1038</c:v>
                </c:pt>
                <c:pt idx="34">
                  <c:v>1070</c:v>
                </c:pt>
                <c:pt idx="35">
                  <c:v>1089</c:v>
                </c:pt>
                <c:pt idx="36">
                  <c:v>1113</c:v>
                </c:pt>
                <c:pt idx="37">
                  <c:v>1111</c:v>
                </c:pt>
                <c:pt idx="38">
                  <c:v>1095</c:v>
                </c:pt>
                <c:pt idx="39">
                  <c:v>1061</c:v>
                </c:pt>
                <c:pt idx="40">
                  <c:v>1036</c:v>
                </c:pt>
                <c:pt idx="41">
                  <c:v>1026</c:v>
                </c:pt>
                <c:pt idx="42">
                  <c:v>1013</c:v>
                </c:pt>
                <c:pt idx="43">
                  <c:v>1037</c:v>
                </c:pt>
                <c:pt idx="44">
                  <c:v>1047</c:v>
                </c:pt>
                <c:pt idx="45">
                  <c:v>1059</c:v>
                </c:pt>
                <c:pt idx="46">
                  <c:v>1099</c:v>
                </c:pt>
                <c:pt idx="47">
                  <c:v>1097</c:v>
                </c:pt>
                <c:pt idx="48">
                  <c:v>1126</c:v>
                </c:pt>
                <c:pt idx="49">
                  <c:v>1111</c:v>
                </c:pt>
                <c:pt idx="50">
                  <c:v>1106</c:v>
                </c:pt>
                <c:pt idx="51">
                  <c:v>1073</c:v>
                </c:pt>
                <c:pt idx="52">
                  <c:v>1034</c:v>
                </c:pt>
                <c:pt idx="53">
                  <c:v>1031</c:v>
                </c:pt>
                <c:pt idx="54">
                  <c:v>1007</c:v>
                </c:pt>
                <c:pt idx="55">
                  <c:v>1049</c:v>
                </c:pt>
                <c:pt idx="56">
                  <c:v>1058</c:v>
                </c:pt>
                <c:pt idx="57">
                  <c:v>1087</c:v>
                </c:pt>
                <c:pt idx="58">
                  <c:v>1101</c:v>
                </c:pt>
                <c:pt idx="59">
                  <c:v>1126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5E-4A87-BC27-1AEF8ABAF484}"/>
            </c:ext>
          </c:extLst>
        </c:ser>
        <c:ser>
          <c:idx val="1"/>
          <c:order val="1"/>
          <c:tx>
            <c:strRef>
              <c:f>'[1]Moving Averages'!$E$10</c:f>
              <c:strCache>
                <c:ptCount val="1"/>
                <c:pt idx="0">
                  <c:v>CMA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'[1]Moving Averages'!$B$11:$B$70</c:f>
              <c:numCache>
                <c:formatCode>General</c:formatCode>
                <c:ptCount val="6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</c:numCache>
            </c:numRef>
          </c:cat>
          <c:val>
            <c:numRef>
              <c:f>'[1]Moving Averages'!$E$11:$E$70</c:f>
              <c:numCache>
                <c:formatCode>General</c:formatCode>
                <c:ptCount val="60"/>
                <c:pt idx="6">
                  <c:v>1007.458333333333</c:v>
                </c:pt>
                <c:pt idx="7">
                  <c:v>1009.25</c:v>
                </c:pt>
                <c:pt idx="8">
                  <c:v>1010.791666666667</c:v>
                </c:pt>
                <c:pt idx="9">
                  <c:v>1012.291666666667</c:v>
                </c:pt>
                <c:pt idx="10">
                  <c:v>1013.333333333333</c:v>
                </c:pt>
                <c:pt idx="11">
                  <c:v>1015.375</c:v>
                </c:pt>
                <c:pt idx="12">
                  <c:v>1017</c:v>
                </c:pt>
                <c:pt idx="13">
                  <c:v>1017.375</c:v>
                </c:pt>
                <c:pt idx="14">
                  <c:v>1018.041666666667</c:v>
                </c:pt>
                <c:pt idx="15">
                  <c:v>1018.541666666667</c:v>
                </c:pt>
                <c:pt idx="16">
                  <c:v>1019.875</c:v>
                </c:pt>
                <c:pt idx="17">
                  <c:v>1022.375</c:v>
                </c:pt>
                <c:pt idx="18">
                  <c:v>1024.083333333333</c:v>
                </c:pt>
                <c:pt idx="19">
                  <c:v>1025.583333333333</c:v>
                </c:pt>
                <c:pt idx="20">
                  <c:v>1027.916666666667</c:v>
                </c:pt>
                <c:pt idx="21">
                  <c:v>1029.458333333333</c:v>
                </c:pt>
                <c:pt idx="22">
                  <c:v>1030.791666666667</c:v>
                </c:pt>
                <c:pt idx="23">
                  <c:v>1032.208333333333</c:v>
                </c:pt>
                <c:pt idx="24">
                  <c:v>1034.25</c:v>
                </c:pt>
                <c:pt idx="25">
                  <c:v>1037.458333333333</c:v>
                </c:pt>
                <c:pt idx="26">
                  <c:v>1040.541666666667</c:v>
                </c:pt>
                <c:pt idx="27">
                  <c:v>1042.833333333333</c:v>
                </c:pt>
                <c:pt idx="28">
                  <c:v>1043.916666666667</c:v>
                </c:pt>
                <c:pt idx="29">
                  <c:v>1044.458333333333</c:v>
                </c:pt>
                <c:pt idx="30">
                  <c:v>1045.5</c:v>
                </c:pt>
                <c:pt idx="31">
                  <c:v>1047.416666666667</c:v>
                </c:pt>
                <c:pt idx="32">
                  <c:v>1049.291666666667</c:v>
                </c:pt>
                <c:pt idx="33">
                  <c:v>1051.5</c:v>
                </c:pt>
                <c:pt idx="34">
                  <c:v>1053.541666666667</c:v>
                </c:pt>
                <c:pt idx="35">
                  <c:v>1055.375</c:v>
                </c:pt>
                <c:pt idx="36">
                  <c:v>1057</c:v>
                </c:pt>
                <c:pt idx="37">
                  <c:v>1058.458333333333</c:v>
                </c:pt>
                <c:pt idx="38">
                  <c:v>1060.375</c:v>
                </c:pt>
                <c:pt idx="39">
                  <c:v>1062.208333333333</c:v>
                </c:pt>
                <c:pt idx="40">
                  <c:v>1064.291666666667</c:v>
                </c:pt>
                <c:pt idx="41">
                  <c:v>1065.833333333333</c:v>
                </c:pt>
                <c:pt idx="42">
                  <c:v>1066.708333333333</c:v>
                </c:pt>
                <c:pt idx="43">
                  <c:v>1067.25</c:v>
                </c:pt>
                <c:pt idx="44">
                  <c:v>1067.708333333333</c:v>
                </c:pt>
                <c:pt idx="45">
                  <c:v>1068.666666666667</c:v>
                </c:pt>
                <c:pt idx="46">
                  <c:v>1069.083333333333</c:v>
                </c:pt>
                <c:pt idx="47">
                  <c:v>1069.208333333333</c:v>
                </c:pt>
                <c:pt idx="48">
                  <c:v>1069.166666666667</c:v>
                </c:pt>
                <c:pt idx="49">
                  <c:v>1069.416666666667</c:v>
                </c:pt>
                <c:pt idx="50">
                  <c:v>1070.375</c:v>
                </c:pt>
                <c:pt idx="51">
                  <c:v>1072</c:v>
                </c:pt>
                <c:pt idx="52">
                  <c:v>1073.25</c:v>
                </c:pt>
                <c:pt idx="53">
                  <c:v>1074.541666666667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5E-4A87-BC27-1AEF8ABAF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515608"/>
        <c:axId val="890517048"/>
      </c:lineChart>
      <c:catAx>
        <c:axId val="890515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517048"/>
        <c:crosses val="autoZero"/>
        <c:auto val="1"/>
        <c:lblAlgn val="ctr"/>
        <c:lblOffset val="100"/>
        <c:noMultiLvlLbl val="0"/>
      </c:catAx>
      <c:valAx>
        <c:axId val="890517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515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'[1]Descriptive Statistics Review'!$E$11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'[1]Descriptive Statistics Review'!$F$9:$G$9</c:f>
              <c:strCache>
                <c:ptCount val="2"/>
                <c:pt idx="0">
                  <c:v>Class A</c:v>
                </c:pt>
                <c:pt idx="1">
                  <c:v>Class B</c:v>
                </c:pt>
              </c:strCache>
            </c:strRef>
          </c:cat>
          <c:val>
            <c:numRef>
              <c:f>'[1]Descriptive Statistics Review'!$F$11:$G$11</c:f>
              <c:numCache>
                <c:formatCode>General</c:formatCode>
                <c:ptCount val="2"/>
                <c:pt idx="0">
                  <c:v>65.2</c:v>
                </c:pt>
                <c:pt idx="1">
                  <c:v>45.529411764705877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0-45C9-A7BB-50671763B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5745640"/>
        <c:axId val="545750256"/>
      </c:barChart>
      <c:catAx>
        <c:axId val="725745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750256"/>
        <c:crosses val="autoZero"/>
        <c:auto val="1"/>
        <c:lblAlgn val="ctr"/>
        <c:lblOffset val="100"/>
        <c:noMultiLvlLbl val="0"/>
      </c:catAx>
      <c:valAx>
        <c:axId val="54575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745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2</xdr:row>
      <xdr:rowOff>28575</xdr:rowOff>
    </xdr:from>
    <xdr:to>
      <xdr:col>13</xdr:col>
      <xdr:colOff>228600</xdr:colOff>
      <xdr:row>16</xdr:row>
      <xdr:rowOff>28575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57A59C7-9579-2B97-A9A3-5C473858DA27}"/>
                </a:ext>
              </a:extLst>
            </xdr:cNvPr>
            <xdr:cNvSpPr txBox="1"/>
          </xdr:nvSpPr>
          <xdr:spPr>
            <a:xfrm>
              <a:off x="581025" y="409575"/>
              <a:ext cx="7572375" cy="2667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n-US" sz="2000">
                  <a:solidFill>
                    <a:schemeClr val="dk1"/>
                  </a:solidFill>
                  <a:latin typeface="+mn-lt"/>
                  <a:ea typeface="+mn-lt"/>
                  <a:cs typeface="+mn-lt"/>
                </a:rPr>
                <a:t>Index numbers are tools for measuring the relative change in a variable (like price or quantity) over time, using a base year set to 100. They simplify complex data for comparisons. The formula is: </a:t>
              </a:r>
              <a:endParaRPr lang="en-US" sz="2000" b="0" i="0" u="none" strike="noStrike">
                <a:solidFill>
                  <a:schemeClr val="dk1"/>
                </a:solidFill>
                <a:latin typeface="Aptos Narrow" panose="020B0004020202020204" pitchFamily="34" charset="0"/>
              </a:endParaRPr>
            </a:p>
            <a:p>
              <a:pPr marL="0" indent="0"/>
              <a:endParaRPr lang="en-US" sz="2000" b="0" i="0" u="none" strike="noStrike">
                <a:solidFill>
                  <a:schemeClr val="dk1"/>
                </a:solidFill>
                <a:latin typeface="Aptos Narrow" panose="020B0004020202020204" pitchFamily="34" charset="0"/>
              </a:endParaRPr>
            </a:p>
            <a:p>
              <a:pPr marL="0" indent="0"/>
              <a:r>
                <a:rPr lang="en-US" sz="2000" b="0" i="0" u="none" strike="noStrike">
                  <a:solidFill>
                    <a:schemeClr val="dk1"/>
                  </a:solidFill>
                  <a:latin typeface="Aptos Narrow" panose="020B0004020202020204" pitchFamily="34" charset="0"/>
                </a:rPr>
                <a:t>Current Value ÷ Base Value × 100</a:t>
              </a:r>
              <a:endParaRPr lang="en-US" sz="2000" b="0" i="0" u="none" strike="noStrike">
                <a:solidFill>
                  <a:schemeClr val="dk1"/>
                </a:solidFill>
                <a:latin typeface="+mn-lt"/>
                <a:ea typeface="+mn-lt"/>
                <a:cs typeface="+mn-lt"/>
              </a:endParaRPr>
            </a:p>
            <a:p>
              <a:pPr marL="0" indent="0"/>
              <a:endParaRPr lang="en-US" sz="2000" b="0" i="0" u="none" strike="noStrike">
                <a:solidFill>
                  <a:schemeClr val="dk1"/>
                </a:solidFill>
                <a:latin typeface="+mn-lt"/>
                <a:ea typeface="+mn-lt"/>
                <a:cs typeface="+mn-lt"/>
              </a:endParaRPr>
            </a:p>
            <a:p>
              <a:pPr marL="0" indent="0"/>
              <a:r>
                <a:rPr lang="en-US" sz="2000">
                  <a:solidFill>
                    <a:schemeClr val="dk1"/>
                  </a:solidFill>
                  <a:latin typeface="+mn-lt"/>
                  <a:ea typeface="+mn-lt"/>
                  <a:cs typeface="+mn-lt"/>
                </a:rPr>
                <a:t>An index of 112 means a </a:t>
              </a:r>
              <a:r>
                <a:rPr lang="en-US" sz="2000" b="0" i="0" u="none" strike="noStrike">
                  <a:solidFill>
                    <a:schemeClr val="dk1"/>
                  </a:solidFill>
                  <a:latin typeface="Aptos Narrow" panose="020B0004020202020204" pitchFamily="34" charset="0"/>
                </a:rPr>
                <a:t>12% </a:t>
              </a:r>
              <a:r>
                <a:rPr lang="en-US" sz="2000">
                  <a:solidFill>
                    <a:schemeClr val="dk1"/>
                  </a:solidFill>
                  <a:latin typeface="+mn-lt"/>
                  <a:ea typeface="+mn-lt"/>
                  <a:cs typeface="+mn-lt"/>
                </a:rPr>
                <a:t>increase, while 90 means a </a:t>
              </a:r>
              <a:r>
                <a:rPr lang="en-US" sz="2000" b="0" i="0" u="none" strike="noStrike">
                  <a:solidFill>
                    <a:schemeClr val="dk1"/>
                  </a:solidFill>
                  <a:latin typeface="Aptos Narrow" panose="020B0004020202020204" pitchFamily="34" charset="0"/>
                </a:rPr>
                <a:t>10% </a:t>
              </a:r>
              <a:r>
                <a:rPr lang="en-US" sz="2000">
                  <a:solidFill>
                    <a:schemeClr val="dk1"/>
                  </a:solidFill>
                  <a:latin typeface="+mn-lt"/>
                  <a:ea typeface="+mn-lt"/>
                  <a:cs typeface="+mn-lt"/>
                </a:rPr>
                <a:t>decrease</a:t>
              </a:r>
              <a:r>
                <a:rPr lang="en-US" sz="2000" b="0" i="0" u="none" strike="noStrike">
                  <a:solidFill>
                    <a:schemeClr val="dk1"/>
                  </a:solidFill>
                  <a:latin typeface="Aptos Narrow" panose="020B0004020202020204" pitchFamily="34" charset="0"/>
                </a:rPr>
                <a:t> from the base year.</a:t>
              </a:r>
              <a:endParaRPr lang="en-US" sz="1100">
                <a:solidFill>
                  <a:schemeClr val="dk1"/>
                </a:solidFill>
                <a:latin typeface="+mn-lt"/>
                <a:ea typeface="+mn-lt"/>
                <a:cs typeface="+mn-lt"/>
              </a:endParaRPr>
            </a:p>
            <a:p>
              <a:pPr marL="0" indent="0"/>
              <a:endParaRPr lang="en-US" sz="1100">
                <a:solidFill>
                  <a:schemeClr val="dk1"/>
                </a:solidFill>
                <a:latin typeface="+mn-lt"/>
                <a:ea typeface="+mn-lt"/>
                <a:cs typeface="+mn-lt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57A59C7-9579-2B97-A9A3-5C473858DA27}"/>
                </a:ext>
              </a:extLst>
            </xdr:cNvPr>
            <xdr:cNvSpPr txBox="1"/>
          </xdr:nvSpPr>
          <xdr:spPr>
            <a:xfrm>
              <a:off x="581025" y="409575"/>
              <a:ext cx="7572375" cy="2667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2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If the value in the base year was A and the value in another year was B, then the index number for the base year will be 100 and the index number for the other year would be:</a:t>
              </a:r>
            </a:p>
            <a:p>
              <a:endParaRPr lang="en-GB" sz="24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2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𝐵/𝐴×100</a:t>
              </a:r>
              <a:endParaRPr lang="en-GB" sz="24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/>
            </a:p>
          </xdr:txBody>
        </xdr:sp>
      </mc:Fallback>
    </mc:AlternateContent>
    <xdr:clientData/>
  </xdr:twoCellAnchor>
  <xdr:twoCellAnchor>
    <xdr:from>
      <xdr:col>1</xdr:col>
      <xdr:colOff>0</xdr:colOff>
      <xdr:row>18</xdr:row>
      <xdr:rowOff>171450</xdr:rowOff>
    </xdr:from>
    <xdr:to>
      <xdr:col>13</xdr:col>
      <xdr:colOff>266700</xdr:colOff>
      <xdr:row>24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918F61-39D0-6B01-5251-4D9599974BA1}"/>
            </a:ext>
          </a:extLst>
        </xdr:cNvPr>
        <xdr:cNvSpPr txBox="1"/>
      </xdr:nvSpPr>
      <xdr:spPr>
        <a:xfrm>
          <a:off x="609600" y="3600450"/>
          <a:ext cx="7686675" cy="1123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2020 the price of a particular computer component was £25.  In 2021 the price had risen to £28.  Using 2020 as the base year, what would be the index number for the price in 2021?</a:t>
          </a:r>
        </a:p>
        <a:p>
          <a:endParaRPr lang="en-GB" sz="1100"/>
        </a:p>
      </xdr:txBody>
    </xdr:sp>
    <xdr:clientData/>
  </xdr:twoCellAnchor>
  <xdr:twoCellAnchor>
    <xdr:from>
      <xdr:col>1</xdr:col>
      <xdr:colOff>19050</xdr:colOff>
      <xdr:row>26</xdr:row>
      <xdr:rowOff>161926</xdr:rowOff>
    </xdr:from>
    <xdr:to>
      <xdr:col>13</xdr:col>
      <xdr:colOff>238125</xdr:colOff>
      <xdr:row>32</xdr:row>
      <xdr:rowOff>66676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25BEA6-72DD-9315-DA4D-00CC336F823E}"/>
            </a:ext>
          </a:extLst>
        </xdr:cNvPr>
        <xdr:cNvSpPr txBox="1"/>
      </xdr:nvSpPr>
      <xdr:spPr>
        <a:xfrm>
          <a:off x="628650" y="5114926"/>
          <a:ext cx="7639050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1990 the population of a town was 24000.  In 2000 the population of the same town was 20000.  Using 1990 as the base year, what is the index number for population in 2000?</a:t>
          </a:r>
        </a:p>
        <a:p>
          <a:endParaRPr lang="en-GB" sz="1100"/>
        </a:p>
      </xdr:txBody>
    </xdr:sp>
    <xdr:clientData/>
  </xdr:twoCellAnchor>
  <xdr:twoCellAnchor>
    <xdr:from>
      <xdr:col>1</xdr:col>
      <xdr:colOff>9525</xdr:colOff>
      <xdr:row>34</xdr:row>
      <xdr:rowOff>66676</xdr:rowOff>
    </xdr:from>
    <xdr:to>
      <xdr:col>13</xdr:col>
      <xdr:colOff>314325</xdr:colOff>
      <xdr:row>40</xdr:row>
      <xdr:rowOff>66676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C9E89A-A50E-933F-1600-04C569851C74}"/>
            </a:ext>
          </a:extLst>
        </xdr:cNvPr>
        <xdr:cNvSpPr txBox="1"/>
      </xdr:nvSpPr>
      <xdr:spPr>
        <a:xfrm>
          <a:off x="619125" y="7067551"/>
          <a:ext cx="82296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following shows the salary for a particular job over some years.  Using 2020 as the base year, calculate the missing index numbers and</a:t>
          </a:r>
          <a:r>
            <a:rPr lang="en-GB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 </a:t>
          </a: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Draw a line chart of the index number against the year.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76201</xdr:rowOff>
    </xdr:from>
    <xdr:to>
      <xdr:col>13</xdr:col>
      <xdr:colOff>0</xdr:colOff>
      <xdr:row>7</xdr:row>
      <xdr:rowOff>76201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60F447-4FF8-3FA5-6794-EE263D7CADE8}"/>
            </a:ext>
          </a:extLst>
        </xdr:cNvPr>
        <xdr:cNvSpPr txBox="1"/>
      </xdr:nvSpPr>
      <xdr:spPr>
        <a:xfrm>
          <a:off x="609600" y="457201"/>
          <a:ext cx="73152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Suppose a typical student’s daily evening meal is 1 instant noodle pot, 2 cans of cola, and 2 packets of crisps.</a:t>
          </a:r>
        </a:p>
        <a:p>
          <a:endParaRPr lang="en-GB" sz="1100"/>
        </a:p>
      </xdr:txBody>
    </xdr:sp>
    <xdr:clientData/>
  </xdr:twoCellAnchor>
  <xdr:twoCellAnchor>
    <xdr:from>
      <xdr:col>1</xdr:col>
      <xdr:colOff>0</xdr:colOff>
      <xdr:row>25</xdr:row>
      <xdr:rowOff>171450</xdr:rowOff>
    </xdr:from>
    <xdr:to>
      <xdr:col>13</xdr:col>
      <xdr:colOff>0</xdr:colOff>
      <xdr:row>30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1A4A57B-BF64-E8F5-8D24-1CC4F5A81DC9}"/>
            </a:ext>
          </a:extLst>
        </xdr:cNvPr>
        <xdr:cNvSpPr txBox="1"/>
      </xdr:nvSpPr>
      <xdr:spPr>
        <a:xfrm>
          <a:off x="609600" y="5505450"/>
          <a:ext cx="802005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these data, what is the percentage difference in basket</a:t>
          </a:r>
          <a:r>
            <a:rPr lang="en-GB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cost</a:t>
          </a: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2017 and in 2018, compared to 2016?</a:t>
          </a:r>
        </a:p>
        <a:p>
          <a:endParaRPr lang="en-GB" sz="1100"/>
        </a:p>
      </xdr:txBody>
    </xdr:sp>
    <xdr:clientData/>
  </xdr:twoCellAnchor>
  <xdr:twoCellAnchor>
    <xdr:from>
      <xdr:col>1</xdr:col>
      <xdr:colOff>0</xdr:colOff>
      <xdr:row>36</xdr:row>
      <xdr:rowOff>0</xdr:rowOff>
    </xdr:from>
    <xdr:to>
      <xdr:col>13</xdr:col>
      <xdr:colOff>0</xdr:colOff>
      <xdr:row>41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4CEB3C3-CC40-4ABE-9312-6F200A0458D4}"/>
            </a:ext>
          </a:extLst>
        </xdr:cNvPr>
        <xdr:cNvSpPr txBox="1"/>
      </xdr:nvSpPr>
      <xdr:spPr>
        <a:xfrm>
          <a:off x="609600" y="7429500"/>
          <a:ext cx="802005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Finally for these data, what is the percentage difference in basket</a:t>
          </a:r>
          <a:r>
            <a:rPr lang="en-GB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cost</a:t>
          </a: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2018 compared to 2015?</a:t>
          </a:r>
        </a:p>
        <a:p>
          <a:endParaRPr lang="en-GB" sz="1100"/>
        </a:p>
      </xdr:txBody>
    </xdr:sp>
    <xdr:clientData/>
  </xdr:twoCellAnchor>
  <xdr:twoCellAnchor>
    <xdr:from>
      <xdr:col>1</xdr:col>
      <xdr:colOff>9525</xdr:colOff>
      <xdr:row>45</xdr:row>
      <xdr:rowOff>114300</xdr:rowOff>
    </xdr:from>
    <xdr:to>
      <xdr:col>13</xdr:col>
      <xdr:colOff>28575</xdr:colOff>
      <xdr:row>50</xdr:row>
      <xdr:rowOff>133350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AA971E4-0634-F007-1A3E-2D95DB231A71}"/>
            </a:ext>
          </a:extLst>
        </xdr:cNvPr>
        <xdr:cNvSpPr txBox="1"/>
      </xdr:nvSpPr>
      <xdr:spPr>
        <a:xfrm>
          <a:off x="619125" y="9258300"/>
          <a:ext cx="8039100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Given that the RPI in September 1973 was 94.8 and in September 2019 was 1148, what was the 2019 equivalent of</a:t>
          </a:r>
          <a:r>
            <a:rPr lang="en-GB" sz="2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</a:t>
          </a:r>
          <a:r>
            <a:rPr lang="en-GB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starting salary of £3500 in 1973?</a:t>
          </a:r>
        </a:p>
        <a:p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38100</xdr:rowOff>
    </xdr:from>
    <xdr:to>
      <xdr:col>13</xdr:col>
      <xdr:colOff>0</xdr:colOff>
      <xdr:row>5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6FDBBA-5D3A-20C5-A66C-F193BF8A0602}"/>
            </a:ext>
          </a:extLst>
        </xdr:cNvPr>
        <xdr:cNvSpPr txBox="1"/>
      </xdr:nvSpPr>
      <xdr:spPr>
        <a:xfrm>
          <a:off x="609600" y="228600"/>
          <a:ext cx="7315200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/>
            <a:t>A small company has monthly sales figures as below.</a:t>
          </a:r>
        </a:p>
        <a:p>
          <a:endParaRPr lang="en-GB" sz="1800"/>
        </a:p>
      </xdr:txBody>
    </xdr:sp>
    <xdr:clientData/>
  </xdr:twoCellAnchor>
  <xdr:twoCellAnchor>
    <xdr:from>
      <xdr:col>10</xdr:col>
      <xdr:colOff>0</xdr:colOff>
      <xdr:row>10</xdr:row>
      <xdr:rowOff>171450</xdr:rowOff>
    </xdr:from>
    <xdr:to>
      <xdr:col>18</xdr:col>
      <xdr:colOff>390525</xdr:colOff>
      <xdr:row>17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D10798-3848-D0D2-8A95-7379D162F24A}"/>
            </a:ext>
          </a:extLst>
        </xdr:cNvPr>
        <xdr:cNvSpPr txBox="1"/>
      </xdr:nvSpPr>
      <xdr:spPr>
        <a:xfrm>
          <a:off x="6096000" y="2076450"/>
          <a:ext cx="5267325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/>
            <a:t>Create a</a:t>
          </a:r>
          <a:r>
            <a:rPr lang="en-GB" sz="1800" baseline="0"/>
            <a:t> line chart that shows date on the horizontal axis and sales on the vertical axis.  Plot both the sales and the centred moving average.</a:t>
          </a:r>
          <a:endParaRPr lang="en-GB" sz="1800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18</xdr:col>
      <xdr:colOff>390525</xdr:colOff>
      <xdr:row>26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DBEBDC2-7F0C-4E39-B34C-8833B6472852}"/>
            </a:ext>
          </a:extLst>
        </xdr:cNvPr>
        <xdr:cNvSpPr txBox="1"/>
      </xdr:nvSpPr>
      <xdr:spPr>
        <a:xfrm>
          <a:off x="6096000" y="3810000"/>
          <a:ext cx="5267325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/>
            <a:t>Given that the company makes these sales in the UK, suggest the type of product the company might sell.  Give a reason for your answer.</a:t>
          </a:r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18</xdr:col>
      <xdr:colOff>390525</xdr:colOff>
      <xdr:row>32</xdr:row>
      <xdr:rowOff>57150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63FA525-E09F-4709-8ECF-DBF5D6C1B265}"/>
            </a:ext>
          </a:extLst>
        </xdr:cNvPr>
        <xdr:cNvSpPr txBox="1"/>
      </xdr:nvSpPr>
      <xdr:spPr>
        <a:xfrm>
          <a:off x="6096000" y="5524500"/>
          <a:ext cx="526732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/>
            <a:t>What was the trend of sales over the period recorded?</a:t>
          </a:r>
        </a:p>
      </xdr:txBody>
    </xdr:sp>
    <xdr:clientData/>
  </xdr:twoCellAnchor>
  <xdr:twoCellAnchor>
    <xdr:from>
      <xdr:col>10</xdr:col>
      <xdr:colOff>38100</xdr:colOff>
      <xdr:row>5</xdr:row>
      <xdr:rowOff>95250</xdr:rowOff>
    </xdr:from>
    <xdr:to>
      <xdr:col>19</xdr:col>
      <xdr:colOff>380999</xdr:colOff>
      <xdr:row>9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DAA2503-3D0E-7E38-DC24-8EA3F999DC26}"/>
            </a:ext>
          </a:extLst>
        </xdr:cNvPr>
        <xdr:cNvSpPr txBox="1"/>
      </xdr:nvSpPr>
      <xdr:spPr>
        <a:xfrm>
          <a:off x="6134100" y="1047750"/>
          <a:ext cx="5829299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Compute the 12-month moving average and the centred moving average for the sales.</a:t>
          </a:r>
          <a:endParaRPr lang="en-GB" sz="2000">
            <a:effectLst/>
          </a:endParaRPr>
        </a:p>
        <a:p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104775</xdr:rowOff>
    </xdr:from>
    <xdr:to>
      <xdr:col>13</xdr:col>
      <xdr:colOff>304800</xdr:colOff>
      <xdr:row>4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6F10A9-111E-175A-BBF3-72595A499EAC}"/>
            </a:ext>
          </a:extLst>
        </xdr:cNvPr>
        <xdr:cNvSpPr txBox="1"/>
      </xdr:nvSpPr>
      <xdr:spPr>
        <a:xfrm>
          <a:off x="2428875" y="104775"/>
          <a:ext cx="6858000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/>
            <a:t>Use Excel formula to generate descriptive</a:t>
          </a:r>
          <a:r>
            <a:rPr lang="en-GB" sz="1800" baseline="0"/>
            <a:t> statistics for the test scores of two classes at a local secondary school</a:t>
          </a:r>
          <a:endParaRPr lang="en-GB" sz="1800"/>
        </a:p>
      </xdr:txBody>
    </xdr:sp>
    <xdr:clientData/>
  </xdr:twoCellAnchor>
  <xdr:twoCellAnchor>
    <xdr:from>
      <xdr:col>9</xdr:col>
      <xdr:colOff>28575</xdr:colOff>
      <xdr:row>8</xdr:row>
      <xdr:rowOff>47625</xdr:rowOff>
    </xdr:from>
    <xdr:to>
      <xdr:col>17</xdr:col>
      <xdr:colOff>361950</xdr:colOff>
      <xdr:row>14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B3B214-530C-D30D-7A54-2D03285331F2}"/>
            </a:ext>
          </a:extLst>
        </xdr:cNvPr>
        <xdr:cNvSpPr txBox="1"/>
      </xdr:nvSpPr>
      <xdr:spPr>
        <a:xfrm>
          <a:off x="6572250" y="1571625"/>
          <a:ext cx="5210175" cy="1152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/>
            <a:t>Create a bar</a:t>
          </a:r>
          <a:r>
            <a:rPr lang="en-GB" sz="1800" baseline="0"/>
            <a:t> chart that has Class on the horizontal axis and mean test score on the vertical axis.  Create bars for the two classes.</a:t>
          </a:r>
        </a:p>
        <a:p>
          <a:endParaRPr lang="en-GB" sz="18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2</xdr:row>
      <xdr:rowOff>28575</xdr:rowOff>
    </xdr:from>
    <xdr:to>
      <xdr:col>13</xdr:col>
      <xdr:colOff>228600</xdr:colOff>
      <xdr:row>16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ABD13F-5542-424B-9678-6E80F32EAB79}"/>
            </a:ext>
          </a:extLst>
        </xdr:cNvPr>
        <xdr:cNvSpPr txBox="1"/>
      </xdr:nvSpPr>
      <xdr:spPr>
        <a:xfrm>
          <a:off x="581025" y="409575"/>
          <a:ext cx="8181975" cy="2667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0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Index numbers are tools for measuring the relative change in a variable (like price or quantity) over time, using a base year set to 100. They simplify complex data for comparisons. The formula is: 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2000" b="0" i="0" u="none" strike="noStrike">
            <a:solidFill>
              <a:schemeClr val="dk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0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Current Value ÷ Base Value × 100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2000" b="0" i="0" u="none" strike="noStrike">
            <a:solidFill>
              <a:schemeClr val="dk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0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An index of 112 means a 12% increase, while 90 means a 10% decrease from the base year.</a:t>
          </a:r>
        </a:p>
      </xdr:txBody>
    </xdr:sp>
    <xdr:clientData/>
  </xdr:twoCellAnchor>
  <xdr:twoCellAnchor>
    <xdr:from>
      <xdr:col>1</xdr:col>
      <xdr:colOff>0</xdr:colOff>
      <xdr:row>18</xdr:row>
      <xdr:rowOff>171450</xdr:rowOff>
    </xdr:from>
    <xdr:to>
      <xdr:col>13</xdr:col>
      <xdr:colOff>266700</xdr:colOff>
      <xdr:row>24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76334C-427C-4042-929D-8C700F56C0B0}"/>
            </a:ext>
            <a:ext uri="{147F2762-F138-4A5C-976F-8EAC2B608ADB}">
              <a16:predDERef xmlns:a16="http://schemas.microsoft.com/office/drawing/2014/main" pred="{03ABD13F-5542-424B-9678-6E80F32EAB79}"/>
            </a:ext>
          </a:extLst>
        </xdr:cNvPr>
        <xdr:cNvSpPr txBox="1"/>
      </xdr:nvSpPr>
      <xdr:spPr>
        <a:xfrm>
          <a:off x="609600" y="3600450"/>
          <a:ext cx="8191500" cy="1362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2020 the price of a particular computer component was £25.  In 2021 the price had risen to £28.  Using 2020 as the base year, what would be the index number for the price in 2021?</a:t>
          </a:r>
        </a:p>
        <a:p>
          <a:endParaRPr lang="en-GB" sz="1100"/>
        </a:p>
      </xdr:txBody>
    </xdr:sp>
    <xdr:clientData/>
  </xdr:twoCellAnchor>
  <xdr:twoCellAnchor>
    <xdr:from>
      <xdr:col>1</xdr:col>
      <xdr:colOff>19050</xdr:colOff>
      <xdr:row>26</xdr:row>
      <xdr:rowOff>161926</xdr:rowOff>
    </xdr:from>
    <xdr:to>
      <xdr:col>13</xdr:col>
      <xdr:colOff>238125</xdr:colOff>
      <xdr:row>32</xdr:row>
      <xdr:rowOff>66676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7172E6-A20A-4005-87C0-B9E994566F39}"/>
            </a:ext>
            <a:ext uri="{147F2762-F138-4A5C-976F-8EAC2B608ADB}">
              <a16:predDERef xmlns:a16="http://schemas.microsoft.com/office/drawing/2014/main" pred="{8376334C-427C-4042-929D-8C700F56C0B0}"/>
            </a:ext>
          </a:extLst>
        </xdr:cNvPr>
        <xdr:cNvSpPr txBox="1"/>
      </xdr:nvSpPr>
      <xdr:spPr>
        <a:xfrm>
          <a:off x="628650" y="5448301"/>
          <a:ext cx="8143875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1990 the population of a town was 24000.  In 2000 the population of the same town was 20000.  Using 1990 as the base year, what is the index number for population in 2000?</a:t>
          </a:r>
        </a:p>
        <a:p>
          <a:endParaRPr lang="en-GB" sz="1100"/>
        </a:p>
      </xdr:txBody>
    </xdr:sp>
    <xdr:clientData/>
  </xdr:twoCellAnchor>
  <xdr:twoCellAnchor>
    <xdr:from>
      <xdr:col>1</xdr:col>
      <xdr:colOff>9525</xdr:colOff>
      <xdr:row>34</xdr:row>
      <xdr:rowOff>66675</xdr:rowOff>
    </xdr:from>
    <xdr:to>
      <xdr:col>13</xdr:col>
      <xdr:colOff>314325</xdr:colOff>
      <xdr:row>40</xdr:row>
      <xdr:rowOff>66675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89A6932-CD19-4735-8EEE-DE20237AB03C}"/>
            </a:ext>
            <a:ext uri="{147F2762-F138-4A5C-976F-8EAC2B608ADB}">
              <a16:predDERef xmlns:a16="http://schemas.microsoft.com/office/drawing/2014/main" pred="{567172E6-A20A-4005-87C0-B9E994566F39}"/>
            </a:ext>
          </a:extLst>
        </xdr:cNvPr>
        <xdr:cNvSpPr txBox="1"/>
      </xdr:nvSpPr>
      <xdr:spPr>
        <a:xfrm>
          <a:off x="619125" y="7067550"/>
          <a:ext cx="82296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latinLnBrk="0" hangingPunct="1"/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following shows the salary for a particular job over some years.  Using 2020 as the base year, calculate the missing index numbers and</a:t>
          </a:r>
          <a:r>
            <a:rPr lang="en-GB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salaries.  Draw a line chart of the index number against the year.</a:t>
          </a:r>
          <a:endParaRPr lang="en-GB" sz="1800">
            <a:effectLst/>
          </a:endParaRPr>
        </a:p>
        <a:p>
          <a:endParaRPr lang="en-GB" sz="1100"/>
        </a:p>
      </xdr:txBody>
    </xdr:sp>
    <xdr:clientData/>
  </xdr:twoCellAnchor>
  <xdr:twoCellAnchor>
    <xdr:from>
      <xdr:col>5</xdr:col>
      <xdr:colOff>142875</xdr:colOff>
      <xdr:row>41</xdr:row>
      <xdr:rowOff>6356</xdr:rowOff>
    </xdr:from>
    <xdr:to>
      <xdr:col>12</xdr:col>
      <xdr:colOff>447675</xdr:colOff>
      <xdr:row>53</xdr:row>
      <xdr:rowOff>82556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3AF39E-4AA7-AB57-426C-99F260C2B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76201</xdr:rowOff>
    </xdr:from>
    <xdr:to>
      <xdr:col>13</xdr:col>
      <xdr:colOff>0</xdr:colOff>
      <xdr:row>7</xdr:row>
      <xdr:rowOff>76201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89C481-FD20-4422-BB8F-61216FEFFE33}"/>
            </a:ext>
          </a:extLst>
        </xdr:cNvPr>
        <xdr:cNvSpPr txBox="1"/>
      </xdr:nvSpPr>
      <xdr:spPr>
        <a:xfrm>
          <a:off x="609600" y="457201"/>
          <a:ext cx="83820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Suppose a typical student’s daily evening meal is 1 instant noodle pot, 2 cans of cola, and 2 packets of crisps.</a:t>
          </a:r>
        </a:p>
        <a:p>
          <a:endParaRPr lang="en-GB" sz="1100"/>
        </a:p>
      </xdr:txBody>
    </xdr:sp>
    <xdr:clientData/>
  </xdr:twoCellAnchor>
  <xdr:twoCellAnchor>
    <xdr:from>
      <xdr:col>1</xdr:col>
      <xdr:colOff>0</xdr:colOff>
      <xdr:row>25</xdr:row>
      <xdr:rowOff>171450</xdr:rowOff>
    </xdr:from>
    <xdr:to>
      <xdr:col>13</xdr:col>
      <xdr:colOff>0</xdr:colOff>
      <xdr:row>30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33C7B8-4C6B-46CA-8B60-937DAA519D40}"/>
            </a:ext>
            <a:ext uri="{147F2762-F138-4A5C-976F-8EAC2B608ADB}">
              <a16:predDERef xmlns:a16="http://schemas.microsoft.com/office/drawing/2014/main" pred="{7089C481-FD20-4422-BB8F-61216FEFFE33}"/>
            </a:ext>
          </a:extLst>
        </xdr:cNvPr>
        <xdr:cNvSpPr txBox="1"/>
      </xdr:nvSpPr>
      <xdr:spPr>
        <a:xfrm>
          <a:off x="609600" y="5505450"/>
          <a:ext cx="83820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these data, what is the percentage difference in basket</a:t>
          </a:r>
          <a:r>
            <a:rPr lang="en-GB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cost</a:t>
          </a: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2017 and in 2018, compared to 2016?</a:t>
          </a:r>
        </a:p>
        <a:p>
          <a:endParaRPr lang="en-GB" sz="1100"/>
        </a:p>
      </xdr:txBody>
    </xdr:sp>
    <xdr:clientData/>
  </xdr:twoCellAnchor>
  <xdr:twoCellAnchor>
    <xdr:from>
      <xdr:col>1</xdr:col>
      <xdr:colOff>0</xdr:colOff>
      <xdr:row>36</xdr:row>
      <xdr:rowOff>0</xdr:rowOff>
    </xdr:from>
    <xdr:to>
      <xdr:col>13</xdr:col>
      <xdr:colOff>0</xdr:colOff>
      <xdr:row>41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E71A4A-E168-4305-BCF7-E8D261BDFC26}"/>
            </a:ext>
            <a:ext uri="{147F2762-F138-4A5C-976F-8EAC2B608ADB}">
              <a16:predDERef xmlns:a16="http://schemas.microsoft.com/office/drawing/2014/main" pred="{5133C7B8-4C6B-46CA-8B60-937DAA519D40}"/>
            </a:ext>
          </a:extLst>
        </xdr:cNvPr>
        <xdr:cNvSpPr txBox="1"/>
      </xdr:nvSpPr>
      <xdr:spPr>
        <a:xfrm>
          <a:off x="609600" y="7572375"/>
          <a:ext cx="83820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/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Finally for these data, what is the percentage difference in basket</a:t>
          </a:r>
          <a:r>
            <a:rPr lang="en-GB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cost</a:t>
          </a:r>
          <a:r>
            <a:rPr lang="en-GB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2017 and in 2018 compared to 2015?</a:t>
          </a:r>
        </a:p>
        <a:p>
          <a:endParaRPr lang="en-GB" sz="1100"/>
        </a:p>
      </xdr:txBody>
    </xdr:sp>
    <xdr:clientData/>
  </xdr:twoCellAnchor>
  <xdr:twoCellAnchor>
    <xdr:from>
      <xdr:col>1</xdr:col>
      <xdr:colOff>9525</xdr:colOff>
      <xdr:row>45</xdr:row>
      <xdr:rowOff>114300</xdr:rowOff>
    </xdr:from>
    <xdr:to>
      <xdr:col>13</xdr:col>
      <xdr:colOff>28575</xdr:colOff>
      <xdr:row>50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F5DA969-4778-4755-AE68-89E2C1ED6418}"/>
            </a:ext>
            <a:ext uri="{147F2762-F138-4A5C-976F-8EAC2B608ADB}">
              <a16:predDERef xmlns:a16="http://schemas.microsoft.com/office/drawing/2014/main" pred="{50E71A4A-E168-4305-BCF7-E8D261BDFC26}"/>
            </a:ext>
          </a:extLst>
        </xdr:cNvPr>
        <xdr:cNvSpPr txBox="1"/>
      </xdr:nvSpPr>
      <xdr:spPr>
        <a:xfrm>
          <a:off x="619125" y="9544050"/>
          <a:ext cx="8401050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Given that the RPI in September 1973 was 94.8 and in September 2019 was 1148, what was the 2019 equivalent of</a:t>
          </a:r>
          <a:r>
            <a:rPr lang="en-GB" sz="2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</a:t>
          </a:r>
          <a:r>
            <a:rPr lang="en-GB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starting salary of £3500 in 1973?</a:t>
          </a:r>
        </a:p>
        <a:p>
          <a:endParaRPr lang="en-GB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38100</xdr:rowOff>
    </xdr:from>
    <xdr:to>
      <xdr:col>13</xdr:col>
      <xdr:colOff>0</xdr:colOff>
      <xdr:row>7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20C7E2-3016-405C-89D1-989320D58E7A}"/>
            </a:ext>
          </a:extLst>
        </xdr:cNvPr>
        <xdr:cNvSpPr txBox="1"/>
      </xdr:nvSpPr>
      <xdr:spPr>
        <a:xfrm>
          <a:off x="609600" y="228600"/>
          <a:ext cx="7477125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/>
            <a:t>A small company has monthly sales figures as below.</a:t>
          </a:r>
        </a:p>
        <a:p>
          <a:endParaRPr lang="en-GB" sz="1800"/>
        </a:p>
        <a:p>
          <a:r>
            <a:rPr lang="en-GB" sz="1800"/>
            <a:t>Compute the 12-month moving average and the centred moving average for the sales.</a:t>
          </a:r>
        </a:p>
      </xdr:txBody>
    </xdr:sp>
    <xdr:clientData/>
  </xdr:twoCellAnchor>
  <xdr:twoCellAnchor>
    <xdr:from>
      <xdr:col>10</xdr:col>
      <xdr:colOff>0</xdr:colOff>
      <xdr:row>10</xdr:row>
      <xdr:rowOff>171450</xdr:rowOff>
    </xdr:from>
    <xdr:to>
      <xdr:col>18</xdr:col>
      <xdr:colOff>390525</xdr:colOff>
      <xdr:row>17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FCCE82-A868-4450-B6A8-AC228D2D9034}"/>
            </a:ext>
            <a:ext uri="{147F2762-F138-4A5C-976F-8EAC2B608ADB}">
              <a16:predDERef xmlns:a16="http://schemas.microsoft.com/office/drawing/2014/main" pred="{A020C7E2-3016-405C-89D1-989320D58E7A}"/>
            </a:ext>
          </a:extLst>
        </xdr:cNvPr>
        <xdr:cNvSpPr txBox="1"/>
      </xdr:nvSpPr>
      <xdr:spPr>
        <a:xfrm>
          <a:off x="6257925" y="2076450"/>
          <a:ext cx="5267325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/>
            <a:t>Create a</a:t>
          </a:r>
          <a:r>
            <a:rPr lang="en-GB" sz="1800" baseline="0"/>
            <a:t> line chart that shows date on the horizontal axis and sales on the vertical axis.  Plot both the sales and the centred moving average.</a:t>
          </a:r>
          <a:endParaRPr lang="en-GB" sz="1800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18</xdr:col>
      <xdr:colOff>390525</xdr:colOff>
      <xdr:row>26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3F84CCE-8486-450F-98D1-29D45E374256}"/>
            </a:ext>
            <a:ext uri="{147F2762-F138-4A5C-976F-8EAC2B608ADB}">
              <a16:predDERef xmlns:a16="http://schemas.microsoft.com/office/drawing/2014/main" pred="{50FCCE82-A868-4450-B6A8-AC228D2D9034}"/>
            </a:ext>
          </a:extLst>
        </xdr:cNvPr>
        <xdr:cNvSpPr txBox="1"/>
      </xdr:nvSpPr>
      <xdr:spPr>
        <a:xfrm>
          <a:off x="6257925" y="3810000"/>
          <a:ext cx="5267325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/>
            <a:t>Given that the company makes these sales in the UK, suggest the type of product the company might sell.  Give a reason for your answer.</a:t>
          </a:r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18</xdr:col>
      <xdr:colOff>390525</xdr:colOff>
      <xdr:row>32</xdr:row>
      <xdr:rowOff>57150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67A3141-81DA-4EB4-A64A-C2CB6FAE17D0}"/>
            </a:ext>
            <a:ext uri="{147F2762-F138-4A5C-976F-8EAC2B608ADB}">
              <a16:predDERef xmlns:a16="http://schemas.microsoft.com/office/drawing/2014/main" pred="{43F84CCE-8486-450F-98D1-29D45E374256}"/>
            </a:ext>
          </a:extLst>
        </xdr:cNvPr>
        <xdr:cNvSpPr txBox="1"/>
      </xdr:nvSpPr>
      <xdr:spPr>
        <a:xfrm>
          <a:off x="6257925" y="5524500"/>
          <a:ext cx="526732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/>
            <a:t>What was the trend of sales over the period recorded?</a:t>
          </a:r>
        </a:p>
      </xdr:txBody>
    </xdr:sp>
    <xdr:clientData/>
  </xdr:twoCellAnchor>
  <xdr:twoCellAnchor>
    <xdr:from>
      <xdr:col>7</xdr:col>
      <xdr:colOff>128587</xdr:colOff>
      <xdr:row>35</xdr:row>
      <xdr:rowOff>33337</xdr:rowOff>
    </xdr:from>
    <xdr:to>
      <xdr:col>18</xdr:col>
      <xdr:colOff>352425</xdr:colOff>
      <xdr:row>49</xdr:row>
      <xdr:rowOff>109537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FFFF3C-C38E-454C-9D14-B588A7F147BA}"/>
            </a:ext>
            <a:ext uri="{147F2762-F138-4A5C-976F-8EAC2B608ADB}">
              <a16:predDERef xmlns:a16="http://schemas.microsoft.com/office/drawing/2014/main" pred="{F67A3141-81DA-4EB4-A64A-C2CB6FAE1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104775</xdr:rowOff>
    </xdr:from>
    <xdr:to>
      <xdr:col>13</xdr:col>
      <xdr:colOff>304800</xdr:colOff>
      <xdr:row>4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262F09-842E-482D-B35D-703619868A87}"/>
            </a:ext>
          </a:extLst>
        </xdr:cNvPr>
        <xdr:cNvSpPr txBox="1"/>
      </xdr:nvSpPr>
      <xdr:spPr>
        <a:xfrm>
          <a:off x="2428875" y="104775"/>
          <a:ext cx="6858000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/>
            <a:t>Use Excel formula to generate descriptive</a:t>
          </a:r>
          <a:r>
            <a:rPr lang="en-GB" sz="1800" baseline="0"/>
            <a:t> statistics for the test scores of two classes at a local secondary school</a:t>
          </a:r>
          <a:endParaRPr lang="en-GB" sz="1800"/>
        </a:p>
      </xdr:txBody>
    </xdr:sp>
    <xdr:clientData/>
  </xdr:twoCellAnchor>
  <xdr:twoCellAnchor>
    <xdr:from>
      <xdr:col>9</xdr:col>
      <xdr:colOff>28575</xdr:colOff>
      <xdr:row>8</xdr:row>
      <xdr:rowOff>47625</xdr:rowOff>
    </xdr:from>
    <xdr:to>
      <xdr:col>17</xdr:col>
      <xdr:colOff>361950</xdr:colOff>
      <xdr:row>14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74DEDF-C10C-44E0-B6FC-BE0593A863CB}"/>
            </a:ext>
            <a:ext uri="{147F2762-F138-4A5C-976F-8EAC2B608ADB}">
              <a16:predDERef xmlns:a16="http://schemas.microsoft.com/office/drawing/2014/main" pred="{06262F09-842E-482D-B35D-703619868A87}"/>
            </a:ext>
          </a:extLst>
        </xdr:cNvPr>
        <xdr:cNvSpPr txBox="1"/>
      </xdr:nvSpPr>
      <xdr:spPr>
        <a:xfrm>
          <a:off x="6572250" y="1571625"/>
          <a:ext cx="5210175" cy="1152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/>
            <a:t>Create a bar</a:t>
          </a:r>
          <a:r>
            <a:rPr lang="en-GB" sz="1800" baseline="0"/>
            <a:t> chart that has Class on the horizontal axis and mean test score on the vertical axis.  Create bars for the two classes.</a:t>
          </a:r>
        </a:p>
        <a:p>
          <a:endParaRPr lang="en-GB" sz="1800"/>
        </a:p>
      </xdr:txBody>
    </xdr:sp>
    <xdr:clientData/>
  </xdr:twoCellAnchor>
  <xdr:twoCellAnchor>
    <xdr:from>
      <xdr:col>9</xdr:col>
      <xdr:colOff>42862</xdr:colOff>
      <xdr:row>16</xdr:row>
      <xdr:rowOff>109537</xdr:rowOff>
    </xdr:from>
    <xdr:to>
      <xdr:col>16</xdr:col>
      <xdr:colOff>347662</xdr:colOff>
      <xdr:row>30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1850D2-24A1-41A5-9F00-90EAA9D32F92}"/>
            </a:ext>
            <a:ext uri="{147F2762-F138-4A5C-976F-8EAC2B608ADB}">
              <a16:predDERef xmlns:a16="http://schemas.microsoft.com/office/drawing/2014/main" pred="{3D74DEDF-C10C-44E0-B6FC-BE0593A86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dices%20and%20Trend%20-%20Solu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Numbers"/>
      <sheetName val="Moving Averages"/>
      <sheetName val="Inflation"/>
      <sheetName val="Descriptive Statistics Review"/>
    </sheetNames>
    <sheetDataSet>
      <sheetData sheetId="0">
        <row r="42">
          <cell r="D42" t="str">
            <v>Index Number</v>
          </cell>
        </row>
        <row r="43">
          <cell r="B43">
            <v>2018</v>
          </cell>
          <cell r="D43">
            <v>98.505823457294653</v>
          </cell>
        </row>
        <row r="44">
          <cell r="B44">
            <v>2019</v>
          </cell>
          <cell r="D44">
            <v>100</v>
          </cell>
        </row>
        <row r="45">
          <cell r="B45">
            <v>2020</v>
          </cell>
          <cell r="D45">
            <v>100</v>
          </cell>
        </row>
        <row r="46">
          <cell r="B46">
            <v>2021</v>
          </cell>
          <cell r="D46">
            <v>101.49928483857779</v>
          </cell>
        </row>
        <row r="47">
          <cell r="B47">
            <v>2022</v>
          </cell>
          <cell r="D47">
            <v>104.54382917858599</v>
          </cell>
        </row>
      </sheetData>
      <sheetData sheetId="1">
        <row r="10">
          <cell r="C10" t="str">
            <v>Sales</v>
          </cell>
          <cell r="E10" t="str">
            <v>CMA</v>
          </cell>
        </row>
        <row r="11">
          <cell r="B11">
            <v>43101</v>
          </cell>
          <cell r="C11">
            <v>1048</v>
          </cell>
        </row>
        <row r="12">
          <cell r="B12">
            <v>43132</v>
          </cell>
          <cell r="C12">
            <v>1051</v>
          </cell>
        </row>
        <row r="13">
          <cell r="B13">
            <v>43160</v>
          </cell>
          <cell r="C13">
            <v>1017</v>
          </cell>
        </row>
        <row r="14">
          <cell r="B14">
            <v>43191</v>
          </cell>
          <cell r="C14">
            <v>1013</v>
          </cell>
        </row>
        <row r="15">
          <cell r="B15">
            <v>43221</v>
          </cell>
          <cell r="C15">
            <v>978</v>
          </cell>
        </row>
        <row r="16">
          <cell r="B16">
            <v>43252</v>
          </cell>
          <cell r="C16">
            <v>957</v>
          </cell>
        </row>
        <row r="17">
          <cell r="B17">
            <v>43282</v>
          </cell>
          <cell r="C17">
            <v>955</v>
          </cell>
          <cell r="E17">
            <v>1007.458333333333</v>
          </cell>
        </row>
        <row r="18">
          <cell r="B18">
            <v>43313</v>
          </cell>
          <cell r="C18">
            <v>974</v>
          </cell>
          <cell r="E18">
            <v>1009.25</v>
          </cell>
        </row>
        <row r="19">
          <cell r="B19">
            <v>43344</v>
          </cell>
          <cell r="C19">
            <v>974</v>
          </cell>
          <cell r="E19">
            <v>1010.791666666667</v>
          </cell>
        </row>
        <row r="20">
          <cell r="B20">
            <v>43374</v>
          </cell>
          <cell r="C20">
            <v>1021</v>
          </cell>
          <cell r="E20">
            <v>1012.291666666667</v>
          </cell>
        </row>
        <row r="21">
          <cell r="B21">
            <v>43405</v>
          </cell>
          <cell r="C21">
            <v>1029</v>
          </cell>
          <cell r="E21">
            <v>1013.333333333333</v>
          </cell>
        </row>
        <row r="22">
          <cell r="B22">
            <v>43435</v>
          </cell>
          <cell r="C22">
            <v>1057</v>
          </cell>
          <cell r="E22">
            <v>1015.375</v>
          </cell>
        </row>
        <row r="23">
          <cell r="B23">
            <v>43466</v>
          </cell>
          <cell r="C23">
            <v>1079</v>
          </cell>
          <cell r="E23">
            <v>1017</v>
          </cell>
        </row>
        <row r="24">
          <cell r="B24">
            <v>43497</v>
          </cell>
          <cell r="C24">
            <v>1063</v>
          </cell>
          <cell r="E24">
            <v>1017.375</v>
          </cell>
        </row>
        <row r="25">
          <cell r="B25">
            <v>43525</v>
          </cell>
          <cell r="C25">
            <v>1042</v>
          </cell>
          <cell r="E25">
            <v>1018.041666666667</v>
          </cell>
        </row>
        <row r="26">
          <cell r="B26">
            <v>43556</v>
          </cell>
          <cell r="C26">
            <v>1024</v>
          </cell>
          <cell r="E26">
            <v>1018.541666666667</v>
          </cell>
        </row>
        <row r="27">
          <cell r="B27">
            <v>43586</v>
          </cell>
          <cell r="C27">
            <v>992</v>
          </cell>
          <cell r="E27">
            <v>1019.875</v>
          </cell>
        </row>
        <row r="28">
          <cell r="B28">
            <v>43617</v>
          </cell>
          <cell r="C28">
            <v>992</v>
          </cell>
          <cell r="E28">
            <v>1022.375</v>
          </cell>
        </row>
        <row r="29">
          <cell r="B29">
            <v>43647</v>
          </cell>
          <cell r="C29">
            <v>959</v>
          </cell>
          <cell r="E29">
            <v>1024.083333333333</v>
          </cell>
        </row>
        <row r="30">
          <cell r="B30">
            <v>43678</v>
          </cell>
          <cell r="C30">
            <v>979</v>
          </cell>
          <cell r="E30">
            <v>1025.583333333333</v>
          </cell>
        </row>
        <row r="31">
          <cell r="B31">
            <v>43709</v>
          </cell>
          <cell r="C31">
            <v>985</v>
          </cell>
          <cell r="E31">
            <v>1027.916666666667</v>
          </cell>
        </row>
        <row r="32">
          <cell r="B32">
            <v>43739</v>
          </cell>
          <cell r="C32">
            <v>1022</v>
          </cell>
          <cell r="E32">
            <v>1029.458333333333</v>
          </cell>
        </row>
        <row r="33">
          <cell r="B33">
            <v>43770</v>
          </cell>
          <cell r="C33">
            <v>1060</v>
          </cell>
          <cell r="E33">
            <v>1030.791666666667</v>
          </cell>
        </row>
        <row r="34">
          <cell r="B34">
            <v>43800</v>
          </cell>
          <cell r="C34">
            <v>1086</v>
          </cell>
          <cell r="E34">
            <v>1032.208333333333</v>
          </cell>
        </row>
        <row r="35">
          <cell r="B35">
            <v>43831</v>
          </cell>
          <cell r="C35">
            <v>1091</v>
          </cell>
          <cell r="E35">
            <v>1034.25</v>
          </cell>
        </row>
        <row r="36">
          <cell r="B36">
            <v>43862</v>
          </cell>
          <cell r="C36">
            <v>1087</v>
          </cell>
          <cell r="E36">
            <v>1037.458333333333</v>
          </cell>
        </row>
        <row r="37">
          <cell r="B37">
            <v>43891</v>
          </cell>
          <cell r="C37">
            <v>1074</v>
          </cell>
          <cell r="E37">
            <v>1040.541666666667</v>
          </cell>
        </row>
        <row r="38">
          <cell r="B38">
            <v>43922</v>
          </cell>
          <cell r="C38">
            <v>1029</v>
          </cell>
          <cell r="E38">
            <v>1042.833333333333</v>
          </cell>
        </row>
        <row r="39">
          <cell r="B39">
            <v>43952</v>
          </cell>
          <cell r="C39">
            <v>1019</v>
          </cell>
          <cell r="E39">
            <v>1043.916666666667</v>
          </cell>
        </row>
        <row r="40">
          <cell r="B40">
            <v>43983</v>
          </cell>
          <cell r="C40">
            <v>999</v>
          </cell>
          <cell r="E40">
            <v>1044.458333333333</v>
          </cell>
        </row>
        <row r="41">
          <cell r="B41">
            <v>44013</v>
          </cell>
          <cell r="C41">
            <v>1001</v>
          </cell>
          <cell r="E41">
            <v>1045.5</v>
          </cell>
        </row>
        <row r="42">
          <cell r="B42">
            <v>44044</v>
          </cell>
          <cell r="C42">
            <v>1014</v>
          </cell>
          <cell r="E42">
            <v>1047.416666666667</v>
          </cell>
        </row>
        <row r="43">
          <cell r="B43">
            <v>44075</v>
          </cell>
          <cell r="C43">
            <v>1024</v>
          </cell>
          <cell r="E43">
            <v>1049.291666666667</v>
          </cell>
        </row>
        <row r="44">
          <cell r="B44">
            <v>44105</v>
          </cell>
          <cell r="C44">
            <v>1038</v>
          </cell>
          <cell r="E44">
            <v>1051.5</v>
          </cell>
        </row>
        <row r="45">
          <cell r="B45">
            <v>44136</v>
          </cell>
          <cell r="C45">
            <v>1070</v>
          </cell>
          <cell r="E45">
            <v>1053.541666666667</v>
          </cell>
        </row>
        <row r="46">
          <cell r="B46">
            <v>44166</v>
          </cell>
          <cell r="C46">
            <v>1089</v>
          </cell>
          <cell r="E46">
            <v>1055.375</v>
          </cell>
        </row>
        <row r="47">
          <cell r="B47">
            <v>44197</v>
          </cell>
          <cell r="C47">
            <v>1113</v>
          </cell>
          <cell r="E47">
            <v>1057</v>
          </cell>
        </row>
        <row r="48">
          <cell r="B48">
            <v>44228</v>
          </cell>
          <cell r="C48">
            <v>1111</v>
          </cell>
          <cell r="E48">
            <v>1058.458333333333</v>
          </cell>
        </row>
        <row r="49">
          <cell r="B49">
            <v>44256</v>
          </cell>
          <cell r="C49">
            <v>1095</v>
          </cell>
          <cell r="E49">
            <v>1060.375</v>
          </cell>
        </row>
        <row r="50">
          <cell r="B50">
            <v>44287</v>
          </cell>
          <cell r="C50">
            <v>1061</v>
          </cell>
          <cell r="E50">
            <v>1062.208333333333</v>
          </cell>
        </row>
        <row r="51">
          <cell r="B51">
            <v>44317</v>
          </cell>
          <cell r="C51">
            <v>1036</v>
          </cell>
          <cell r="E51">
            <v>1064.291666666667</v>
          </cell>
        </row>
        <row r="52">
          <cell r="B52">
            <v>44348</v>
          </cell>
          <cell r="C52">
            <v>1026</v>
          </cell>
          <cell r="E52">
            <v>1065.833333333333</v>
          </cell>
        </row>
        <row r="53">
          <cell r="B53">
            <v>44378</v>
          </cell>
          <cell r="C53">
            <v>1013</v>
          </cell>
          <cell r="E53">
            <v>1066.708333333333</v>
          </cell>
        </row>
        <row r="54">
          <cell r="B54">
            <v>44409</v>
          </cell>
          <cell r="C54">
            <v>1037</v>
          </cell>
          <cell r="E54">
            <v>1067.25</v>
          </cell>
        </row>
        <row r="55">
          <cell r="B55">
            <v>44440</v>
          </cell>
          <cell r="C55">
            <v>1047</v>
          </cell>
          <cell r="E55">
            <v>1067.708333333333</v>
          </cell>
        </row>
        <row r="56">
          <cell r="B56">
            <v>44470</v>
          </cell>
          <cell r="C56">
            <v>1059</v>
          </cell>
          <cell r="E56">
            <v>1068.666666666667</v>
          </cell>
        </row>
        <row r="57">
          <cell r="B57">
            <v>44501</v>
          </cell>
          <cell r="C57">
            <v>1099</v>
          </cell>
          <cell r="E57">
            <v>1069.083333333333</v>
          </cell>
        </row>
        <row r="58">
          <cell r="B58">
            <v>44531</v>
          </cell>
          <cell r="C58">
            <v>1097</v>
          </cell>
          <cell r="E58">
            <v>1069.208333333333</v>
          </cell>
        </row>
        <row r="59">
          <cell r="B59">
            <v>44562</v>
          </cell>
          <cell r="C59">
            <v>1126</v>
          </cell>
          <cell r="E59">
            <v>1069.166666666667</v>
          </cell>
        </row>
        <row r="60">
          <cell r="B60">
            <v>44593</v>
          </cell>
          <cell r="C60">
            <v>1111</v>
          </cell>
          <cell r="E60">
            <v>1069.416666666667</v>
          </cell>
        </row>
        <row r="61">
          <cell r="B61">
            <v>44621</v>
          </cell>
          <cell r="C61">
            <v>1106</v>
          </cell>
          <cell r="E61">
            <v>1070.375</v>
          </cell>
        </row>
        <row r="62">
          <cell r="B62">
            <v>44652</v>
          </cell>
          <cell r="C62">
            <v>1073</v>
          </cell>
          <cell r="E62">
            <v>1072</v>
          </cell>
        </row>
        <row r="63">
          <cell r="B63">
            <v>44682</v>
          </cell>
          <cell r="C63">
            <v>1034</v>
          </cell>
          <cell r="E63">
            <v>1073.25</v>
          </cell>
        </row>
        <row r="64">
          <cell r="B64">
            <v>44713</v>
          </cell>
          <cell r="C64">
            <v>1031</v>
          </cell>
          <cell r="E64">
            <v>1074.541666666667</v>
          </cell>
        </row>
        <row r="65">
          <cell r="B65">
            <v>44743</v>
          </cell>
          <cell r="C65">
            <v>1007</v>
          </cell>
        </row>
        <row r="66">
          <cell r="B66">
            <v>44774</v>
          </cell>
          <cell r="C66">
            <v>1049</v>
          </cell>
        </row>
        <row r="67">
          <cell r="B67">
            <v>44805</v>
          </cell>
          <cell r="C67">
            <v>1058</v>
          </cell>
        </row>
        <row r="68">
          <cell r="B68">
            <v>44835</v>
          </cell>
          <cell r="C68">
            <v>1087</v>
          </cell>
        </row>
        <row r="69">
          <cell r="B69">
            <v>44866</v>
          </cell>
          <cell r="C69">
            <v>1101</v>
          </cell>
        </row>
        <row r="70">
          <cell r="B70">
            <v>44896</v>
          </cell>
          <cell r="C70">
            <v>1126</v>
          </cell>
        </row>
      </sheetData>
      <sheetData sheetId="2"/>
      <sheetData sheetId="3">
        <row r="9">
          <cell r="F9" t="str">
            <v>Class A</v>
          </cell>
          <cell r="G9" t="str">
            <v>Class B</v>
          </cell>
        </row>
        <row r="11">
          <cell r="E11" t="str">
            <v>Mean</v>
          </cell>
          <cell r="F11">
            <v>65.2</v>
          </cell>
          <cell r="G11">
            <v>45.529411764705877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B62D-88D2-412E-86B7-A2C434D83C65}">
  <dimension ref="A1:S50"/>
  <sheetViews>
    <sheetView tabSelected="1" workbookViewId="0">
      <selection activeCell="A2" sqref="A2"/>
    </sheetView>
  </sheetViews>
  <sheetFormatPr defaultRowHeight="14.5" x14ac:dyDescent="0.35"/>
  <cols>
    <col min="3" max="3" width="10.54296875" bestFit="1" customWidth="1"/>
    <col min="4" max="4" width="16.81640625" bestFit="1" customWidth="1"/>
    <col min="18" max="18" width="13.453125" bestFit="1" customWidth="1"/>
  </cols>
  <sheetData>
    <row r="1" spans="1:1" x14ac:dyDescent="0.35">
      <c r="A1" t="s">
        <v>37</v>
      </c>
    </row>
    <row r="20" spans="17:19" ht="18.5" x14ac:dyDescent="0.45">
      <c r="Q20" s="1" t="s">
        <v>0</v>
      </c>
      <c r="R20" s="1" t="s">
        <v>1</v>
      </c>
      <c r="S20" s="1" t="s">
        <v>2</v>
      </c>
    </row>
    <row r="21" spans="17:19" ht="18.5" x14ac:dyDescent="0.45">
      <c r="Q21" s="1">
        <v>2020</v>
      </c>
      <c r="R21" s="1">
        <v>25</v>
      </c>
      <c r="S21" s="1">
        <v>100</v>
      </c>
    </row>
    <row r="22" spans="17:19" ht="18.5" x14ac:dyDescent="0.45">
      <c r="Q22" s="1">
        <v>2021</v>
      </c>
      <c r="R22" s="1"/>
      <c r="S22" s="1"/>
    </row>
    <row r="23" spans="17:19" ht="18.5" x14ac:dyDescent="0.45">
      <c r="Q23" s="1"/>
      <c r="R23" s="1"/>
      <c r="S23" s="1"/>
    </row>
    <row r="24" spans="17:19" ht="18.5" x14ac:dyDescent="0.45">
      <c r="Q24" s="1"/>
      <c r="R24" s="1"/>
      <c r="S24" s="1"/>
    </row>
    <row r="25" spans="17:19" ht="18.5" x14ac:dyDescent="0.45">
      <c r="Q25" s="1"/>
      <c r="R25" s="1"/>
      <c r="S25" s="1"/>
    </row>
    <row r="26" spans="17:19" ht="18.5" x14ac:dyDescent="0.45">
      <c r="Q26" s="1"/>
      <c r="R26" s="1"/>
      <c r="S26" s="1"/>
    </row>
    <row r="27" spans="17:19" ht="18.5" x14ac:dyDescent="0.45">
      <c r="Q27" s="1"/>
      <c r="R27" s="1"/>
      <c r="S27" s="1"/>
    </row>
    <row r="28" spans="17:19" ht="18.5" x14ac:dyDescent="0.45">
      <c r="Q28" s="1" t="s">
        <v>0</v>
      </c>
      <c r="R28" s="1" t="s">
        <v>3</v>
      </c>
      <c r="S28" s="1" t="s">
        <v>2</v>
      </c>
    </row>
    <row r="29" spans="17:19" ht="18.5" x14ac:dyDescent="0.45">
      <c r="Q29" s="1">
        <v>1990</v>
      </c>
      <c r="R29" s="1"/>
      <c r="S29" s="1"/>
    </row>
    <row r="30" spans="17:19" ht="18.5" x14ac:dyDescent="0.45">
      <c r="Q30" s="1">
        <v>2000</v>
      </c>
      <c r="R30" s="1"/>
      <c r="S30" s="1"/>
    </row>
    <row r="42" spans="2:4" ht="18.5" x14ac:dyDescent="0.45">
      <c r="B42" s="1" t="s">
        <v>0</v>
      </c>
      <c r="C42" s="1" t="s">
        <v>4</v>
      </c>
      <c r="D42" s="1" t="s">
        <v>5</v>
      </c>
    </row>
    <row r="43" spans="2:4" ht="18.5" x14ac:dyDescent="0.45">
      <c r="B43" s="1">
        <v>2018</v>
      </c>
      <c r="C43" s="2">
        <v>38567</v>
      </c>
      <c r="D43" s="1"/>
    </row>
    <row r="44" spans="2:4" ht="18.5" x14ac:dyDescent="0.45">
      <c r="B44" s="1">
        <v>2019</v>
      </c>
      <c r="C44" s="2">
        <v>39152</v>
      </c>
      <c r="D44" s="1"/>
    </row>
    <row r="45" spans="2:4" ht="18.5" x14ac:dyDescent="0.45">
      <c r="B45" s="1">
        <v>2020</v>
      </c>
      <c r="C45" s="2">
        <v>39152</v>
      </c>
      <c r="D45" s="1"/>
    </row>
    <row r="46" spans="2:4" ht="18.5" x14ac:dyDescent="0.45">
      <c r="B46" s="1">
        <v>2021</v>
      </c>
      <c r="C46" s="2">
        <v>39739</v>
      </c>
      <c r="D46" s="1"/>
    </row>
    <row r="47" spans="2:4" ht="18.5" x14ac:dyDescent="0.45">
      <c r="B47" s="1">
        <v>2022</v>
      </c>
      <c r="C47" s="2">
        <v>40931</v>
      </c>
      <c r="D47" s="1"/>
    </row>
    <row r="48" spans="2:4" ht="18.5" x14ac:dyDescent="0.45">
      <c r="B48" s="1">
        <v>2023</v>
      </c>
      <c r="D48" s="1">
        <v>108</v>
      </c>
    </row>
    <row r="49" spans="2:4" ht="18.5" x14ac:dyDescent="0.45">
      <c r="B49" s="1">
        <v>2024</v>
      </c>
      <c r="D49" s="1">
        <v>110.09</v>
      </c>
    </row>
    <row r="50" spans="2:4" ht="18.5" x14ac:dyDescent="0.45">
      <c r="B50" s="1">
        <v>2025</v>
      </c>
      <c r="D50" s="1">
        <v>115.1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F652-1F17-4909-894B-75A37B3F496A}">
  <dimension ref="B10:F55"/>
  <sheetViews>
    <sheetView topLeftCell="A19" workbookViewId="0">
      <selection activeCell="B10" sqref="B10"/>
    </sheetView>
  </sheetViews>
  <sheetFormatPr defaultRowHeight="14.5" x14ac:dyDescent="0.35"/>
  <cols>
    <col min="3" max="3" width="19.7265625" customWidth="1"/>
    <col min="6" max="6" width="14.54296875" bestFit="1" customWidth="1"/>
    <col min="7" max="7" width="8.7265625" customWidth="1"/>
  </cols>
  <sheetData>
    <row r="10" spans="2:6" ht="18.5" x14ac:dyDescent="0.45">
      <c r="B10" s="1" t="s">
        <v>6</v>
      </c>
      <c r="C10" s="1"/>
      <c r="D10" s="1"/>
      <c r="E10" s="1"/>
      <c r="F10" s="1"/>
    </row>
    <row r="11" spans="2:6" ht="18.5" x14ac:dyDescent="0.45">
      <c r="B11" s="3" t="s">
        <v>0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2:6" ht="18.5" x14ac:dyDescent="0.45">
      <c r="B12" s="3">
        <v>2015</v>
      </c>
      <c r="C12" s="4">
        <v>0.89</v>
      </c>
      <c r="D12" s="4">
        <v>0.75</v>
      </c>
      <c r="E12" s="4">
        <v>0.39</v>
      </c>
      <c r="F12" s="3"/>
    </row>
    <row r="13" spans="2:6" ht="18.5" x14ac:dyDescent="0.45">
      <c r="B13" s="3">
        <v>2016</v>
      </c>
      <c r="C13" s="4">
        <v>0.92</v>
      </c>
      <c r="D13" s="4">
        <v>0.8</v>
      </c>
      <c r="E13" s="4">
        <v>0.45</v>
      </c>
      <c r="F13" s="3"/>
    </row>
    <row r="14" spans="2:6" ht="18.5" x14ac:dyDescent="0.45">
      <c r="B14" s="3">
        <v>2017</v>
      </c>
      <c r="C14" s="4">
        <v>0.96</v>
      </c>
      <c r="D14" s="4">
        <v>0.85</v>
      </c>
      <c r="E14" s="4">
        <v>0.56000000000000005</v>
      </c>
      <c r="F14" s="3"/>
    </row>
    <row r="15" spans="2:6" ht="18.5" x14ac:dyDescent="0.45">
      <c r="B15" s="3">
        <v>2018</v>
      </c>
      <c r="C15" s="4">
        <v>1.2</v>
      </c>
      <c r="D15" s="4">
        <v>0.85</v>
      </c>
      <c r="E15" s="4">
        <v>0.62</v>
      </c>
      <c r="F15" s="3"/>
    </row>
    <row r="18" spans="2:4" ht="18.5" x14ac:dyDescent="0.45">
      <c r="B18" s="1" t="s">
        <v>11</v>
      </c>
      <c r="C18" s="1"/>
      <c r="D18" s="1"/>
    </row>
    <row r="19" spans="2:4" ht="18.5" x14ac:dyDescent="0.45">
      <c r="B19" s="3" t="s">
        <v>0</v>
      </c>
      <c r="C19" s="3" t="s">
        <v>10</v>
      </c>
      <c r="D19" s="3" t="s">
        <v>12</v>
      </c>
    </row>
    <row r="20" spans="2:4" ht="18.5" x14ac:dyDescent="0.45">
      <c r="B20" s="3">
        <v>2015</v>
      </c>
      <c r="C20" s="3"/>
      <c r="D20" s="3"/>
    </row>
    <row r="21" spans="2:4" ht="18.5" x14ac:dyDescent="0.45">
      <c r="B21" s="3">
        <v>2016</v>
      </c>
      <c r="C21" s="3"/>
      <c r="D21" s="3"/>
    </row>
    <row r="22" spans="2:4" ht="18.5" x14ac:dyDescent="0.45">
      <c r="B22" s="3">
        <v>2017</v>
      </c>
      <c r="C22" s="3"/>
      <c r="D22" s="3"/>
    </row>
    <row r="23" spans="2:4" ht="18.5" x14ac:dyDescent="0.45">
      <c r="B23" s="3">
        <v>2018</v>
      </c>
      <c r="C23" s="3"/>
      <c r="D23" s="3"/>
    </row>
    <row r="33" spans="3:4" ht="18.5" x14ac:dyDescent="0.45">
      <c r="C33" s="1" t="s">
        <v>13</v>
      </c>
      <c r="D33" s="1" t="s">
        <v>14</v>
      </c>
    </row>
    <row r="34" spans="3:4" ht="18.5" x14ac:dyDescent="0.45">
      <c r="C34" s="1">
        <v>2017</v>
      </c>
      <c r="D34" s="1"/>
    </row>
    <row r="35" spans="3:4" ht="18.5" x14ac:dyDescent="0.45">
      <c r="C35" s="1">
        <v>2018</v>
      </c>
      <c r="D35" s="1"/>
    </row>
    <row r="43" spans="3:4" ht="18.5" x14ac:dyDescent="0.45">
      <c r="C43" s="1" t="s">
        <v>15</v>
      </c>
      <c r="D43" s="1" t="s">
        <v>14</v>
      </c>
    </row>
    <row r="44" spans="3:4" ht="18.5" x14ac:dyDescent="0.45">
      <c r="C44" s="1">
        <v>2017</v>
      </c>
      <c r="D44" s="7"/>
    </row>
    <row r="45" spans="3:4" ht="18.5" x14ac:dyDescent="0.45">
      <c r="C45" s="1">
        <v>2018</v>
      </c>
      <c r="D45" s="7"/>
    </row>
    <row r="53" spans="3:5" ht="18.5" x14ac:dyDescent="0.45">
      <c r="C53" s="1" t="s">
        <v>0</v>
      </c>
      <c r="D53" s="1" t="s">
        <v>2</v>
      </c>
      <c r="E53" s="1" t="s">
        <v>16</v>
      </c>
    </row>
    <row r="54" spans="3:5" ht="18.5" x14ac:dyDescent="0.45">
      <c r="C54" s="1">
        <v>1973</v>
      </c>
      <c r="D54" s="1">
        <v>94.8</v>
      </c>
      <c r="E54" s="8">
        <v>3500</v>
      </c>
    </row>
    <row r="55" spans="3:5" ht="18.5" x14ac:dyDescent="0.45">
      <c r="C55" s="1">
        <v>2019</v>
      </c>
      <c r="D55" s="1">
        <v>1148</v>
      </c>
      <c r="E55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87D1-139A-4C91-9789-2CEB6BC3567C}">
  <dimension ref="A10:E70"/>
  <sheetViews>
    <sheetView workbookViewId="0">
      <selection activeCell="G17" sqref="G17"/>
    </sheetView>
  </sheetViews>
  <sheetFormatPr defaultRowHeight="14.5" x14ac:dyDescent="0.35"/>
  <cols>
    <col min="4" max="4" width="12.1796875" customWidth="1"/>
  </cols>
  <sheetData>
    <row r="10" spans="1:5" x14ac:dyDescent="0.3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</row>
    <row r="11" spans="1:5" x14ac:dyDescent="0.35">
      <c r="A11">
        <v>1</v>
      </c>
      <c r="B11" s="5">
        <v>43101</v>
      </c>
      <c r="C11">
        <v>1048</v>
      </c>
    </row>
    <row r="12" spans="1:5" x14ac:dyDescent="0.35">
      <c r="A12">
        <v>2</v>
      </c>
      <c r="B12" s="5">
        <v>43132</v>
      </c>
      <c r="C12">
        <v>1051</v>
      </c>
    </row>
    <row r="13" spans="1:5" x14ac:dyDescent="0.35">
      <c r="A13">
        <v>3</v>
      </c>
      <c r="B13" s="5">
        <v>43160</v>
      </c>
      <c r="C13">
        <v>1017</v>
      </c>
    </row>
    <row r="14" spans="1:5" x14ac:dyDescent="0.35">
      <c r="A14">
        <v>4</v>
      </c>
      <c r="B14" s="5">
        <v>43191</v>
      </c>
      <c r="C14">
        <v>1013</v>
      </c>
    </row>
    <row r="15" spans="1:5" x14ac:dyDescent="0.35">
      <c r="A15">
        <v>5</v>
      </c>
      <c r="B15" s="5">
        <v>43221</v>
      </c>
      <c r="C15">
        <v>978</v>
      </c>
    </row>
    <row r="16" spans="1:5" x14ac:dyDescent="0.35">
      <c r="A16">
        <v>6</v>
      </c>
      <c r="B16" s="5">
        <v>43252</v>
      </c>
      <c r="C16">
        <v>957</v>
      </c>
    </row>
    <row r="17" spans="1:3" x14ac:dyDescent="0.35">
      <c r="A17">
        <v>7</v>
      </c>
      <c r="B17" s="5">
        <v>43282</v>
      </c>
      <c r="C17">
        <v>955</v>
      </c>
    </row>
    <row r="18" spans="1:3" x14ac:dyDescent="0.35">
      <c r="A18">
        <v>8</v>
      </c>
      <c r="B18" s="5">
        <v>43313</v>
      </c>
      <c r="C18">
        <v>974</v>
      </c>
    </row>
    <row r="19" spans="1:3" x14ac:dyDescent="0.35">
      <c r="A19">
        <v>9</v>
      </c>
      <c r="B19" s="5">
        <v>43344</v>
      </c>
      <c r="C19">
        <v>974</v>
      </c>
    </row>
    <row r="20" spans="1:3" x14ac:dyDescent="0.35">
      <c r="A20">
        <v>10</v>
      </c>
      <c r="B20" s="5">
        <v>43374</v>
      </c>
      <c r="C20">
        <v>1021</v>
      </c>
    </row>
    <row r="21" spans="1:3" x14ac:dyDescent="0.35">
      <c r="A21">
        <v>11</v>
      </c>
      <c r="B21" s="5">
        <v>43405</v>
      </c>
      <c r="C21">
        <v>1029</v>
      </c>
    </row>
    <row r="22" spans="1:3" x14ac:dyDescent="0.35">
      <c r="A22">
        <v>12</v>
      </c>
      <c r="B22" s="5">
        <v>43435</v>
      </c>
      <c r="C22">
        <v>1057</v>
      </c>
    </row>
    <row r="23" spans="1:3" x14ac:dyDescent="0.35">
      <c r="A23">
        <v>13</v>
      </c>
      <c r="B23" s="5">
        <v>43466</v>
      </c>
      <c r="C23">
        <v>1079</v>
      </c>
    </row>
    <row r="24" spans="1:3" x14ac:dyDescent="0.35">
      <c r="A24">
        <v>14</v>
      </c>
      <c r="B24" s="5">
        <v>43497</v>
      </c>
      <c r="C24">
        <v>1063</v>
      </c>
    </row>
    <row r="25" spans="1:3" x14ac:dyDescent="0.35">
      <c r="A25">
        <v>15</v>
      </c>
      <c r="B25" s="5">
        <v>43525</v>
      </c>
      <c r="C25">
        <v>1042</v>
      </c>
    </row>
    <row r="26" spans="1:3" x14ac:dyDescent="0.35">
      <c r="A26">
        <v>16</v>
      </c>
      <c r="B26" s="5">
        <v>43556</v>
      </c>
      <c r="C26">
        <v>1024</v>
      </c>
    </row>
    <row r="27" spans="1:3" x14ac:dyDescent="0.35">
      <c r="A27">
        <v>17</v>
      </c>
      <c r="B27" s="5">
        <v>43586</v>
      </c>
      <c r="C27">
        <v>992</v>
      </c>
    </row>
    <row r="28" spans="1:3" x14ac:dyDescent="0.35">
      <c r="A28">
        <v>18</v>
      </c>
      <c r="B28" s="5">
        <v>43617</v>
      </c>
      <c r="C28">
        <v>992</v>
      </c>
    </row>
    <row r="29" spans="1:3" x14ac:dyDescent="0.35">
      <c r="A29">
        <v>19</v>
      </c>
      <c r="B29" s="5">
        <v>43647</v>
      </c>
      <c r="C29">
        <v>959</v>
      </c>
    </row>
    <row r="30" spans="1:3" x14ac:dyDescent="0.35">
      <c r="A30">
        <v>20</v>
      </c>
      <c r="B30" s="5">
        <v>43678</v>
      </c>
      <c r="C30">
        <v>979</v>
      </c>
    </row>
    <row r="31" spans="1:3" x14ac:dyDescent="0.35">
      <c r="A31">
        <v>21</v>
      </c>
      <c r="B31" s="5">
        <v>43709</v>
      </c>
      <c r="C31">
        <v>985</v>
      </c>
    </row>
    <row r="32" spans="1:3" x14ac:dyDescent="0.35">
      <c r="A32">
        <v>22</v>
      </c>
      <c r="B32" s="5">
        <v>43739</v>
      </c>
      <c r="C32">
        <v>1022</v>
      </c>
    </row>
    <row r="33" spans="1:3" x14ac:dyDescent="0.35">
      <c r="A33">
        <v>23</v>
      </c>
      <c r="B33" s="5">
        <v>43770</v>
      </c>
      <c r="C33">
        <v>1060</v>
      </c>
    </row>
    <row r="34" spans="1:3" x14ac:dyDescent="0.35">
      <c r="A34">
        <v>24</v>
      </c>
      <c r="B34" s="5">
        <v>43800</v>
      </c>
      <c r="C34">
        <v>1086</v>
      </c>
    </row>
    <row r="35" spans="1:3" x14ac:dyDescent="0.35">
      <c r="A35">
        <v>25</v>
      </c>
      <c r="B35" s="5">
        <v>43831</v>
      </c>
      <c r="C35">
        <v>1091</v>
      </c>
    </row>
    <row r="36" spans="1:3" x14ac:dyDescent="0.35">
      <c r="A36">
        <v>26</v>
      </c>
      <c r="B36" s="5">
        <v>43862</v>
      </c>
      <c r="C36">
        <v>1087</v>
      </c>
    </row>
    <row r="37" spans="1:3" x14ac:dyDescent="0.35">
      <c r="A37">
        <v>27</v>
      </c>
      <c r="B37" s="5">
        <v>43891</v>
      </c>
      <c r="C37">
        <v>1074</v>
      </c>
    </row>
    <row r="38" spans="1:3" x14ac:dyDescent="0.35">
      <c r="A38">
        <v>28</v>
      </c>
      <c r="B38" s="5">
        <v>43922</v>
      </c>
      <c r="C38">
        <v>1029</v>
      </c>
    </row>
    <row r="39" spans="1:3" x14ac:dyDescent="0.35">
      <c r="A39">
        <v>29</v>
      </c>
      <c r="B39" s="5">
        <v>43952</v>
      </c>
      <c r="C39">
        <v>1019</v>
      </c>
    </row>
    <row r="40" spans="1:3" x14ac:dyDescent="0.35">
      <c r="A40">
        <v>30</v>
      </c>
      <c r="B40" s="5">
        <v>43983</v>
      </c>
      <c r="C40">
        <v>999</v>
      </c>
    </row>
    <row r="41" spans="1:3" x14ac:dyDescent="0.35">
      <c r="A41">
        <v>31</v>
      </c>
      <c r="B41" s="5">
        <v>44013</v>
      </c>
      <c r="C41">
        <v>1001</v>
      </c>
    </row>
    <row r="42" spans="1:3" x14ac:dyDescent="0.35">
      <c r="A42">
        <v>32</v>
      </c>
      <c r="B42" s="5">
        <v>44044</v>
      </c>
      <c r="C42">
        <v>1014</v>
      </c>
    </row>
    <row r="43" spans="1:3" x14ac:dyDescent="0.35">
      <c r="A43">
        <v>33</v>
      </c>
      <c r="B43" s="5">
        <v>44075</v>
      </c>
      <c r="C43">
        <v>1024</v>
      </c>
    </row>
    <row r="44" spans="1:3" x14ac:dyDescent="0.35">
      <c r="A44">
        <v>34</v>
      </c>
      <c r="B44" s="5">
        <v>44105</v>
      </c>
      <c r="C44">
        <v>1038</v>
      </c>
    </row>
    <row r="45" spans="1:3" x14ac:dyDescent="0.35">
      <c r="A45">
        <v>35</v>
      </c>
      <c r="B45" s="5">
        <v>44136</v>
      </c>
      <c r="C45">
        <v>1070</v>
      </c>
    </row>
    <row r="46" spans="1:3" x14ac:dyDescent="0.35">
      <c r="A46">
        <v>36</v>
      </c>
      <c r="B46" s="5">
        <v>44166</v>
      </c>
      <c r="C46">
        <v>1089</v>
      </c>
    </row>
    <row r="47" spans="1:3" x14ac:dyDescent="0.35">
      <c r="A47">
        <v>37</v>
      </c>
      <c r="B47" s="5">
        <v>44197</v>
      </c>
      <c r="C47">
        <v>1113</v>
      </c>
    </row>
    <row r="48" spans="1:3" x14ac:dyDescent="0.35">
      <c r="A48">
        <v>38</v>
      </c>
      <c r="B48" s="5">
        <v>44228</v>
      </c>
      <c r="C48">
        <v>1111</v>
      </c>
    </row>
    <row r="49" spans="1:3" x14ac:dyDescent="0.35">
      <c r="A49">
        <v>39</v>
      </c>
      <c r="B49" s="5">
        <v>44256</v>
      </c>
      <c r="C49">
        <v>1095</v>
      </c>
    </row>
    <row r="50" spans="1:3" x14ac:dyDescent="0.35">
      <c r="A50">
        <v>40</v>
      </c>
      <c r="B50" s="5">
        <v>44287</v>
      </c>
      <c r="C50">
        <v>1061</v>
      </c>
    </row>
    <row r="51" spans="1:3" x14ac:dyDescent="0.35">
      <c r="A51">
        <v>41</v>
      </c>
      <c r="B51" s="5">
        <v>44317</v>
      </c>
      <c r="C51">
        <v>1036</v>
      </c>
    </row>
    <row r="52" spans="1:3" x14ac:dyDescent="0.35">
      <c r="A52">
        <v>42</v>
      </c>
      <c r="B52" s="5">
        <v>44348</v>
      </c>
      <c r="C52">
        <v>1026</v>
      </c>
    </row>
    <row r="53" spans="1:3" x14ac:dyDescent="0.35">
      <c r="A53">
        <v>43</v>
      </c>
      <c r="B53" s="5">
        <v>44378</v>
      </c>
      <c r="C53">
        <v>1013</v>
      </c>
    </row>
    <row r="54" spans="1:3" x14ac:dyDescent="0.35">
      <c r="A54">
        <v>44</v>
      </c>
      <c r="B54" s="5">
        <v>44409</v>
      </c>
      <c r="C54">
        <v>1037</v>
      </c>
    </row>
    <row r="55" spans="1:3" x14ac:dyDescent="0.35">
      <c r="A55">
        <v>45</v>
      </c>
      <c r="B55" s="5">
        <v>44440</v>
      </c>
      <c r="C55">
        <v>1047</v>
      </c>
    </row>
    <row r="56" spans="1:3" x14ac:dyDescent="0.35">
      <c r="A56">
        <v>46</v>
      </c>
      <c r="B56" s="5">
        <v>44470</v>
      </c>
      <c r="C56">
        <v>1059</v>
      </c>
    </row>
    <row r="57" spans="1:3" x14ac:dyDescent="0.35">
      <c r="A57">
        <v>47</v>
      </c>
      <c r="B57" s="5">
        <v>44501</v>
      </c>
      <c r="C57">
        <v>1099</v>
      </c>
    </row>
    <row r="58" spans="1:3" x14ac:dyDescent="0.35">
      <c r="A58">
        <v>48</v>
      </c>
      <c r="B58" s="5">
        <v>44531</v>
      </c>
      <c r="C58">
        <v>1097</v>
      </c>
    </row>
    <row r="59" spans="1:3" x14ac:dyDescent="0.35">
      <c r="A59">
        <v>49</v>
      </c>
      <c r="B59" s="5">
        <v>44562</v>
      </c>
      <c r="C59">
        <v>1126</v>
      </c>
    </row>
    <row r="60" spans="1:3" x14ac:dyDescent="0.35">
      <c r="A60">
        <v>50</v>
      </c>
      <c r="B60" s="5">
        <v>44593</v>
      </c>
      <c r="C60">
        <v>1111</v>
      </c>
    </row>
    <row r="61" spans="1:3" x14ac:dyDescent="0.35">
      <c r="A61">
        <v>51</v>
      </c>
      <c r="B61" s="5">
        <v>44621</v>
      </c>
      <c r="C61">
        <v>1106</v>
      </c>
    </row>
    <row r="62" spans="1:3" x14ac:dyDescent="0.35">
      <c r="A62">
        <v>52</v>
      </c>
      <c r="B62" s="5">
        <v>44652</v>
      </c>
      <c r="C62">
        <v>1073</v>
      </c>
    </row>
    <row r="63" spans="1:3" x14ac:dyDescent="0.35">
      <c r="A63">
        <v>53</v>
      </c>
      <c r="B63" s="5">
        <v>44682</v>
      </c>
      <c r="C63">
        <v>1034</v>
      </c>
    </row>
    <row r="64" spans="1:3" x14ac:dyDescent="0.35">
      <c r="A64">
        <v>54</v>
      </c>
      <c r="B64" s="5">
        <v>44713</v>
      </c>
      <c r="C64">
        <v>1031</v>
      </c>
    </row>
    <row r="65" spans="1:3" x14ac:dyDescent="0.35">
      <c r="A65">
        <v>55</v>
      </c>
      <c r="B65" s="5">
        <v>44743</v>
      </c>
      <c r="C65">
        <v>1007</v>
      </c>
    </row>
    <row r="66" spans="1:3" x14ac:dyDescent="0.35">
      <c r="A66">
        <v>56</v>
      </c>
      <c r="B66" s="5">
        <v>44774</v>
      </c>
      <c r="C66">
        <v>1049</v>
      </c>
    </row>
    <row r="67" spans="1:3" x14ac:dyDescent="0.35">
      <c r="A67">
        <v>57</v>
      </c>
      <c r="B67" s="5">
        <v>44805</v>
      </c>
      <c r="C67">
        <v>1058</v>
      </c>
    </row>
    <row r="68" spans="1:3" x14ac:dyDescent="0.35">
      <c r="A68">
        <v>58</v>
      </c>
      <c r="B68" s="5">
        <v>44835</v>
      </c>
      <c r="C68">
        <v>1087</v>
      </c>
    </row>
    <row r="69" spans="1:3" x14ac:dyDescent="0.35">
      <c r="A69">
        <v>59</v>
      </c>
      <c r="B69" s="5">
        <v>44866</v>
      </c>
      <c r="C69">
        <v>1101</v>
      </c>
    </row>
    <row r="70" spans="1:3" x14ac:dyDescent="0.35">
      <c r="A70">
        <v>60</v>
      </c>
      <c r="B70" s="5">
        <v>44896</v>
      </c>
      <c r="C70">
        <v>1126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5C57-769F-40D8-9CF2-51E7E4880E9F}">
  <dimension ref="A1:H35"/>
  <sheetViews>
    <sheetView workbookViewId="0">
      <selection activeCell="P16" sqref="P16"/>
    </sheetView>
  </sheetViews>
  <sheetFormatPr defaultRowHeight="14.5" x14ac:dyDescent="0.35"/>
  <cols>
    <col min="5" max="5" width="25" bestFit="1" customWidth="1"/>
  </cols>
  <sheetData>
    <row r="1" spans="1:8" x14ac:dyDescent="0.35">
      <c r="A1" t="s">
        <v>22</v>
      </c>
      <c r="B1" t="s">
        <v>23</v>
      </c>
    </row>
    <row r="2" spans="1:8" x14ac:dyDescent="0.35">
      <c r="A2">
        <v>69</v>
      </c>
      <c r="B2">
        <v>35</v>
      </c>
    </row>
    <row r="3" spans="1:8" x14ac:dyDescent="0.35">
      <c r="A3">
        <v>65</v>
      </c>
      <c r="B3">
        <v>51</v>
      </c>
    </row>
    <row r="4" spans="1:8" x14ac:dyDescent="0.35">
      <c r="A4">
        <v>54</v>
      </c>
      <c r="B4">
        <v>69</v>
      </c>
    </row>
    <row r="5" spans="1:8" x14ac:dyDescent="0.35">
      <c r="A5">
        <v>66</v>
      </c>
      <c r="B5">
        <v>15</v>
      </c>
    </row>
    <row r="6" spans="1:8" x14ac:dyDescent="0.35">
      <c r="A6">
        <v>68</v>
      </c>
      <c r="B6">
        <v>63</v>
      </c>
    </row>
    <row r="7" spans="1:8" x14ac:dyDescent="0.35">
      <c r="A7">
        <v>74</v>
      </c>
      <c r="B7">
        <v>48</v>
      </c>
    </row>
    <row r="8" spans="1:8" x14ac:dyDescent="0.35">
      <c r="A8">
        <v>66</v>
      </c>
      <c r="B8">
        <v>46</v>
      </c>
    </row>
    <row r="9" spans="1:8" x14ac:dyDescent="0.35">
      <c r="A9">
        <v>68</v>
      </c>
      <c r="B9">
        <v>26</v>
      </c>
      <c r="F9" t="s">
        <v>22</v>
      </c>
      <c r="G9" t="s">
        <v>23</v>
      </c>
      <c r="H9" t="s">
        <v>24</v>
      </c>
    </row>
    <row r="10" spans="1:8" x14ac:dyDescent="0.35">
      <c r="A10">
        <v>81</v>
      </c>
      <c r="B10">
        <v>19</v>
      </c>
      <c r="E10" t="s">
        <v>25</v>
      </c>
    </row>
    <row r="11" spans="1:8" x14ac:dyDescent="0.35">
      <c r="A11">
        <v>74</v>
      </c>
      <c r="B11">
        <v>11</v>
      </c>
      <c r="E11" t="s">
        <v>26</v>
      </c>
    </row>
    <row r="12" spans="1:8" x14ac:dyDescent="0.35">
      <c r="A12">
        <v>53</v>
      </c>
      <c r="B12">
        <v>43</v>
      </c>
      <c r="E12" t="s">
        <v>27</v>
      </c>
    </row>
    <row r="13" spans="1:8" x14ac:dyDescent="0.35">
      <c r="A13">
        <v>60</v>
      </c>
      <c r="B13">
        <v>32</v>
      </c>
      <c r="E13" t="s">
        <v>28</v>
      </c>
    </row>
    <row r="14" spans="1:8" x14ac:dyDescent="0.35">
      <c r="A14">
        <v>67</v>
      </c>
      <c r="B14">
        <v>53</v>
      </c>
      <c r="E14" t="s">
        <v>29</v>
      </c>
    </row>
    <row r="15" spans="1:8" x14ac:dyDescent="0.35">
      <c r="A15">
        <v>68</v>
      </c>
      <c r="B15">
        <v>62</v>
      </c>
      <c r="E15" t="s">
        <v>30</v>
      </c>
    </row>
    <row r="16" spans="1:8" x14ac:dyDescent="0.35">
      <c r="A16">
        <v>63</v>
      </c>
      <c r="B16">
        <v>54</v>
      </c>
      <c r="E16" t="s">
        <v>31</v>
      </c>
    </row>
    <row r="17" spans="1:5" x14ac:dyDescent="0.35">
      <c r="A17">
        <v>44</v>
      </c>
      <c r="B17">
        <v>63</v>
      </c>
      <c r="E17" t="s">
        <v>32</v>
      </c>
    </row>
    <row r="18" spans="1:5" x14ac:dyDescent="0.35">
      <c r="A18">
        <v>75</v>
      </c>
      <c r="B18">
        <v>48</v>
      </c>
    </row>
    <row r="19" spans="1:5" x14ac:dyDescent="0.35">
      <c r="A19">
        <v>84</v>
      </c>
      <c r="B19">
        <v>75</v>
      </c>
    </row>
    <row r="20" spans="1:5" x14ac:dyDescent="0.35">
      <c r="A20">
        <v>52</v>
      </c>
      <c r="B20">
        <v>59</v>
      </c>
    </row>
    <row r="21" spans="1:5" x14ac:dyDescent="0.35">
      <c r="A21">
        <v>71</v>
      </c>
      <c r="B21">
        <v>41</v>
      </c>
    </row>
    <row r="22" spans="1:5" x14ac:dyDescent="0.35">
      <c r="A22">
        <v>53</v>
      </c>
      <c r="B22">
        <v>44</v>
      </c>
    </row>
    <row r="23" spans="1:5" x14ac:dyDescent="0.35">
      <c r="A23">
        <v>77</v>
      </c>
      <c r="B23">
        <v>30</v>
      </c>
    </row>
    <row r="24" spans="1:5" x14ac:dyDescent="0.35">
      <c r="A24">
        <v>70</v>
      </c>
      <c r="B24">
        <v>37</v>
      </c>
    </row>
    <row r="25" spans="1:5" x14ac:dyDescent="0.35">
      <c r="A25">
        <v>58</v>
      </c>
      <c r="B25">
        <v>61</v>
      </c>
    </row>
    <row r="26" spans="1:5" x14ac:dyDescent="0.35">
      <c r="A26">
        <v>58</v>
      </c>
      <c r="B26">
        <v>60</v>
      </c>
    </row>
    <row r="27" spans="1:5" x14ac:dyDescent="0.35">
      <c r="A27">
        <v>80</v>
      </c>
      <c r="B27">
        <v>31</v>
      </c>
    </row>
    <row r="28" spans="1:5" x14ac:dyDescent="0.35">
      <c r="A28">
        <v>64</v>
      </c>
      <c r="B28">
        <v>84</v>
      </c>
    </row>
    <row r="29" spans="1:5" x14ac:dyDescent="0.35">
      <c r="A29">
        <v>72</v>
      </c>
      <c r="B29">
        <v>32</v>
      </c>
    </row>
    <row r="30" spans="1:5" x14ac:dyDescent="0.35">
      <c r="A30">
        <v>53</v>
      </c>
      <c r="B30">
        <v>11</v>
      </c>
    </row>
    <row r="31" spans="1:5" x14ac:dyDescent="0.35">
      <c r="A31">
        <v>49</v>
      </c>
      <c r="B31">
        <v>71</v>
      </c>
    </row>
    <row r="32" spans="1:5" x14ac:dyDescent="0.35">
      <c r="B32">
        <v>5</v>
      </c>
    </row>
    <row r="33" spans="2:2" x14ac:dyDescent="0.35">
      <c r="B33">
        <v>37</v>
      </c>
    </row>
    <row r="34" spans="2:2" x14ac:dyDescent="0.35">
      <c r="B34">
        <v>71</v>
      </c>
    </row>
    <row r="35" spans="2:2" x14ac:dyDescent="0.35">
      <c r="B35">
        <v>61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2546-8C68-4A4E-97DA-B783539853B2}">
  <dimension ref="B20:S50"/>
  <sheetViews>
    <sheetView topLeftCell="A38" workbookViewId="0">
      <selection activeCell="N48" sqref="N48"/>
    </sheetView>
  </sheetViews>
  <sheetFormatPr defaultRowHeight="14.5" x14ac:dyDescent="0.35"/>
  <cols>
    <col min="3" max="3" width="12.453125" bestFit="1" customWidth="1"/>
    <col min="4" max="4" width="16.81640625" bestFit="1" customWidth="1"/>
    <col min="18" max="18" width="13.453125" bestFit="1" customWidth="1"/>
  </cols>
  <sheetData>
    <row r="20" spans="16:19" ht="18.5" x14ac:dyDescent="0.45">
      <c r="Q20" s="1" t="s">
        <v>0</v>
      </c>
      <c r="R20" s="1" t="s">
        <v>1</v>
      </c>
      <c r="S20" s="1" t="s">
        <v>2</v>
      </c>
    </row>
    <row r="21" spans="16:19" ht="18.5" x14ac:dyDescent="0.45">
      <c r="Q21" s="1">
        <v>2020</v>
      </c>
      <c r="R21" s="1">
        <v>25</v>
      </c>
      <c r="S21" s="1">
        <v>100</v>
      </c>
    </row>
    <row r="22" spans="16:19" ht="18.5" x14ac:dyDescent="0.45">
      <c r="Q22" s="1">
        <v>2021</v>
      </c>
      <c r="R22" s="9">
        <v>28</v>
      </c>
      <c r="S22" s="9">
        <f>R22/R21*100</f>
        <v>112.00000000000001</v>
      </c>
    </row>
    <row r="23" spans="16:19" ht="18.5" x14ac:dyDescent="0.45">
      <c r="Q23" s="1"/>
      <c r="R23" s="1"/>
      <c r="S23" s="1"/>
    </row>
    <row r="24" spans="16:19" ht="18.5" x14ac:dyDescent="0.45">
      <c r="Q24" s="1"/>
      <c r="R24" s="1"/>
      <c r="S24" s="1"/>
    </row>
    <row r="25" spans="16:19" ht="18.5" x14ac:dyDescent="0.45">
      <c r="Q25" s="1"/>
      <c r="R25" s="1"/>
      <c r="S25" s="1"/>
    </row>
    <row r="26" spans="16:19" ht="18.5" x14ac:dyDescent="0.45">
      <c r="P26" s="10"/>
      <c r="Q26" s="1"/>
      <c r="R26" s="1"/>
      <c r="S26" s="1"/>
    </row>
    <row r="27" spans="16:19" ht="18.5" x14ac:dyDescent="0.45">
      <c r="Q27" s="1"/>
      <c r="R27" s="1"/>
      <c r="S27" s="1"/>
    </row>
    <row r="28" spans="16:19" ht="18.5" x14ac:dyDescent="0.45">
      <c r="Q28" s="1" t="s">
        <v>0</v>
      </c>
      <c r="R28" s="1" t="s">
        <v>3</v>
      </c>
      <c r="S28" s="1" t="s">
        <v>2</v>
      </c>
    </row>
    <row r="29" spans="16:19" ht="18.5" x14ac:dyDescent="0.45">
      <c r="Q29" s="1">
        <v>1990</v>
      </c>
      <c r="R29" s="9">
        <v>24000</v>
      </c>
      <c r="S29" s="9">
        <v>100</v>
      </c>
    </row>
    <row r="30" spans="16:19" ht="18.5" x14ac:dyDescent="0.45">
      <c r="Q30" s="1">
        <v>2000</v>
      </c>
      <c r="R30" s="9">
        <v>20000</v>
      </c>
      <c r="S30" s="9">
        <f>R30/R29*100</f>
        <v>83.333333333333343</v>
      </c>
    </row>
    <row r="42" spans="2:4" ht="18.5" x14ac:dyDescent="0.45">
      <c r="B42" s="1" t="s">
        <v>0</v>
      </c>
      <c r="C42" s="1" t="s">
        <v>4</v>
      </c>
      <c r="D42" s="1" t="s">
        <v>5</v>
      </c>
    </row>
    <row r="43" spans="2:4" ht="18.5" x14ac:dyDescent="0.45">
      <c r="B43" s="1">
        <v>2018</v>
      </c>
      <c r="C43" s="2">
        <v>38567</v>
      </c>
      <c r="D43" s="11">
        <f>C43/$C$45*100</f>
        <v>98.505823457294653</v>
      </c>
    </row>
    <row r="44" spans="2:4" ht="18.5" x14ac:dyDescent="0.45">
      <c r="B44" s="1">
        <v>2019</v>
      </c>
      <c r="C44" s="2">
        <v>39152</v>
      </c>
      <c r="D44" s="11">
        <f>C44/$C$45*100</f>
        <v>100</v>
      </c>
    </row>
    <row r="45" spans="2:4" ht="18.5" x14ac:dyDescent="0.45">
      <c r="B45" s="1">
        <v>2020</v>
      </c>
      <c r="C45" s="2">
        <v>39152</v>
      </c>
      <c r="D45" s="11">
        <f t="shared" ref="D45:D47" si="0">C45/$C$45*100</f>
        <v>100</v>
      </c>
    </row>
    <row r="46" spans="2:4" ht="18.5" x14ac:dyDescent="0.45">
      <c r="B46" s="1">
        <v>2021</v>
      </c>
      <c r="C46" s="2">
        <v>39739</v>
      </c>
      <c r="D46" s="11">
        <f t="shared" si="0"/>
        <v>101.49928483857784</v>
      </c>
    </row>
    <row r="47" spans="2:4" ht="18.5" x14ac:dyDescent="0.45">
      <c r="B47" s="1">
        <v>2022</v>
      </c>
      <c r="C47" s="2">
        <v>40931</v>
      </c>
      <c r="D47" s="11">
        <f t="shared" si="0"/>
        <v>104.54382917858602</v>
      </c>
    </row>
    <row r="48" spans="2:4" ht="18.5" x14ac:dyDescent="0.45">
      <c r="B48" s="1">
        <v>2023</v>
      </c>
      <c r="C48" s="15">
        <f>D48*$C$45/100</f>
        <v>42284.160000000003</v>
      </c>
      <c r="D48" s="1">
        <v>108</v>
      </c>
    </row>
    <row r="49" spans="2:4" ht="18.5" x14ac:dyDescent="0.45">
      <c r="B49" s="1">
        <v>2024</v>
      </c>
      <c r="C49" s="15">
        <f t="shared" ref="C49:C50" si="1">D49*$C$45/100</f>
        <v>43102.436799999996</v>
      </c>
      <c r="D49" s="1">
        <v>110.09</v>
      </c>
    </row>
    <row r="50" spans="2:4" ht="18.5" x14ac:dyDescent="0.45">
      <c r="B50" s="1">
        <v>2025</v>
      </c>
      <c r="C50" s="15">
        <f t="shared" si="1"/>
        <v>45063.952000000005</v>
      </c>
      <c r="D50" s="1">
        <v>115.1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A6E8-C6F6-442A-92B5-56D539FF895E}">
  <dimension ref="B10:F56"/>
  <sheetViews>
    <sheetView topLeftCell="A35" workbookViewId="0">
      <selection activeCell="C53" sqref="C53"/>
    </sheetView>
  </sheetViews>
  <sheetFormatPr defaultRowHeight="14.5" x14ac:dyDescent="0.35"/>
  <cols>
    <col min="3" max="3" width="19.7265625" customWidth="1"/>
    <col min="6" max="6" width="14.54296875" bestFit="1" customWidth="1"/>
  </cols>
  <sheetData>
    <row r="10" spans="2:6" ht="18.5" x14ac:dyDescent="0.45">
      <c r="B10" s="1" t="s">
        <v>6</v>
      </c>
      <c r="C10" s="1"/>
      <c r="D10" s="1"/>
      <c r="E10" s="1"/>
      <c r="F10" s="1"/>
    </row>
    <row r="11" spans="2:6" ht="18.5" x14ac:dyDescent="0.45">
      <c r="B11" s="3" t="s">
        <v>0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2:6" ht="18.5" x14ac:dyDescent="0.45">
      <c r="B12" s="3">
        <v>2015</v>
      </c>
      <c r="C12" s="4">
        <v>0.89</v>
      </c>
      <c r="D12" s="4">
        <v>0.75</v>
      </c>
      <c r="E12" s="4">
        <v>0.39</v>
      </c>
      <c r="F12" s="12">
        <f>C12+2*D12+2*E12</f>
        <v>3.17</v>
      </c>
    </row>
    <row r="13" spans="2:6" ht="18.5" x14ac:dyDescent="0.45">
      <c r="B13" s="3">
        <v>2016</v>
      </c>
      <c r="C13" s="4">
        <v>0.92</v>
      </c>
      <c r="D13" s="4">
        <v>0.8</v>
      </c>
      <c r="E13" s="4">
        <v>0.45</v>
      </c>
      <c r="F13" s="12">
        <f t="shared" ref="F13:F15" si="0">C13+2*D13+2*E13</f>
        <v>3.42</v>
      </c>
    </row>
    <row r="14" spans="2:6" ht="18.5" x14ac:dyDescent="0.45">
      <c r="B14" s="3">
        <v>2017</v>
      </c>
      <c r="C14" s="4">
        <v>0.96</v>
      </c>
      <c r="D14" s="4">
        <v>0.85</v>
      </c>
      <c r="E14" s="4">
        <v>0.56000000000000005</v>
      </c>
      <c r="F14" s="12">
        <f t="shared" si="0"/>
        <v>3.7800000000000002</v>
      </c>
    </row>
    <row r="15" spans="2:6" ht="18.5" x14ac:dyDescent="0.45">
      <c r="B15" s="3">
        <v>2018</v>
      </c>
      <c r="C15" s="4">
        <v>1.2</v>
      </c>
      <c r="D15" s="4">
        <v>0.85</v>
      </c>
      <c r="E15" s="4">
        <v>0.62</v>
      </c>
      <c r="F15" s="12">
        <f t="shared" si="0"/>
        <v>4.1399999999999997</v>
      </c>
    </row>
    <row r="18" spans="2:4" ht="18.5" x14ac:dyDescent="0.45">
      <c r="B18" s="1" t="s">
        <v>11</v>
      </c>
      <c r="C18" s="1"/>
      <c r="D18" s="1"/>
    </row>
    <row r="19" spans="2:4" ht="18.5" x14ac:dyDescent="0.45">
      <c r="B19" s="3" t="s">
        <v>0</v>
      </c>
      <c r="C19" s="3" t="s">
        <v>10</v>
      </c>
      <c r="D19" s="3" t="s">
        <v>12</v>
      </c>
    </row>
    <row r="20" spans="2:4" ht="18.5" x14ac:dyDescent="0.45">
      <c r="B20" s="3">
        <v>2015</v>
      </c>
      <c r="C20" s="4">
        <f>F12</f>
        <v>3.17</v>
      </c>
      <c r="D20" s="13">
        <f>C20/$C$21*100</f>
        <v>92.690058479532169</v>
      </c>
    </row>
    <row r="21" spans="2:4" ht="18.5" x14ac:dyDescent="0.45">
      <c r="B21" s="3">
        <v>2016</v>
      </c>
      <c r="C21" s="4">
        <f t="shared" ref="C21:C23" si="1">F13</f>
        <v>3.42</v>
      </c>
      <c r="D21" s="13">
        <f t="shared" ref="D21:D23" si="2">C21/$C$21*100</f>
        <v>100</v>
      </c>
    </row>
    <row r="22" spans="2:4" ht="18.5" x14ac:dyDescent="0.45">
      <c r="B22" s="3">
        <v>2017</v>
      </c>
      <c r="C22" s="4">
        <f t="shared" si="1"/>
        <v>3.7800000000000002</v>
      </c>
      <c r="D22" s="13">
        <f t="shared" si="2"/>
        <v>110.5263157894737</v>
      </c>
    </row>
    <row r="23" spans="2:4" ht="18.5" x14ac:dyDescent="0.45">
      <c r="B23" s="3">
        <v>2018</v>
      </c>
      <c r="C23" s="4">
        <f t="shared" si="1"/>
        <v>4.1399999999999997</v>
      </c>
      <c r="D23" s="13">
        <f t="shared" si="2"/>
        <v>121.05263157894737</v>
      </c>
    </row>
    <row r="33" spans="3:4" ht="18.5" x14ac:dyDescent="0.45">
      <c r="C33" s="1" t="s">
        <v>13</v>
      </c>
      <c r="D33" s="1" t="s">
        <v>14</v>
      </c>
    </row>
    <row r="34" spans="3:4" ht="18.5" x14ac:dyDescent="0.45">
      <c r="C34" s="1">
        <v>2017</v>
      </c>
      <c r="D34" s="7">
        <f>D22-100</f>
        <v>10.526315789473699</v>
      </c>
    </row>
    <row r="35" spans="3:4" ht="18.5" x14ac:dyDescent="0.45">
      <c r="C35" s="1">
        <v>2018</v>
      </c>
      <c r="D35" s="7">
        <f>D23-100</f>
        <v>21.05263157894737</v>
      </c>
    </row>
    <row r="43" spans="3:4" ht="18.5" x14ac:dyDescent="0.45">
      <c r="C43" s="1" t="s">
        <v>15</v>
      </c>
      <c r="D43" s="1" t="s">
        <v>14</v>
      </c>
    </row>
    <row r="44" spans="3:4" ht="18.5" x14ac:dyDescent="0.45">
      <c r="C44" s="1">
        <v>2017</v>
      </c>
      <c r="D44" s="7">
        <f>(C22-$C$20)/$C$20*100</f>
        <v>19.242902208201905</v>
      </c>
    </row>
    <row r="45" spans="3:4" ht="18.5" x14ac:dyDescent="0.45">
      <c r="C45" s="1">
        <v>2018</v>
      </c>
      <c r="D45" s="7">
        <f>(C23-$C$20)/$C$20*100</f>
        <v>30.599369085173496</v>
      </c>
    </row>
    <row r="53" spans="3:5" ht="18.5" x14ac:dyDescent="0.45">
      <c r="C53" s="9" t="s">
        <v>33</v>
      </c>
    </row>
    <row r="54" spans="3:5" ht="18.5" x14ac:dyDescent="0.45">
      <c r="C54" s="1" t="s">
        <v>0</v>
      </c>
      <c r="D54" s="1" t="s">
        <v>2</v>
      </c>
      <c r="E54" s="1" t="s">
        <v>16</v>
      </c>
    </row>
    <row r="55" spans="3:5" ht="18.5" x14ac:dyDescent="0.45">
      <c r="C55" s="1">
        <v>1973</v>
      </c>
      <c r="D55" s="1">
        <v>94.8</v>
      </c>
      <c r="E55" s="8">
        <v>3500</v>
      </c>
    </row>
    <row r="56" spans="3:5" ht="18.5" x14ac:dyDescent="0.45">
      <c r="C56" s="1">
        <v>2019</v>
      </c>
      <c r="D56" s="1">
        <v>1148</v>
      </c>
      <c r="E56" s="9">
        <f>E55/D55*D56</f>
        <v>42383.966244725736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6D57-A354-498D-A88D-C131530F02F6}">
  <dimension ref="A10:K70"/>
  <sheetViews>
    <sheetView topLeftCell="A22" workbookViewId="0">
      <selection activeCell="G44" sqref="G44"/>
    </sheetView>
  </sheetViews>
  <sheetFormatPr defaultRowHeight="14.5" x14ac:dyDescent="0.35"/>
  <cols>
    <col min="4" max="4" width="11.54296875" bestFit="1" customWidth="1"/>
  </cols>
  <sheetData>
    <row r="10" spans="1:5" x14ac:dyDescent="0.35">
      <c r="A10" s="6" t="s">
        <v>17</v>
      </c>
      <c r="B10" s="6" t="s">
        <v>18</v>
      </c>
      <c r="C10" s="6" t="s">
        <v>19</v>
      </c>
      <c r="D10" s="14" t="s">
        <v>20</v>
      </c>
      <c r="E10" s="14" t="s">
        <v>21</v>
      </c>
    </row>
    <row r="11" spans="1:5" x14ac:dyDescent="0.35">
      <c r="A11">
        <v>1</v>
      </c>
      <c r="B11" s="5">
        <v>43101</v>
      </c>
      <c r="C11">
        <v>1048</v>
      </c>
      <c r="D11" s="10"/>
      <c r="E11" s="10"/>
    </row>
    <row r="12" spans="1:5" x14ac:dyDescent="0.35">
      <c r="A12">
        <v>2</v>
      </c>
      <c r="B12" s="5">
        <v>43132</v>
      </c>
      <c r="C12">
        <v>1051</v>
      </c>
      <c r="D12" s="10"/>
      <c r="E12" s="10"/>
    </row>
    <row r="13" spans="1:5" x14ac:dyDescent="0.35">
      <c r="A13">
        <v>3</v>
      </c>
      <c r="B13" s="5">
        <v>43160</v>
      </c>
      <c r="C13">
        <v>1017</v>
      </c>
      <c r="D13" s="10"/>
      <c r="E13" s="10"/>
    </row>
    <row r="14" spans="1:5" x14ac:dyDescent="0.35">
      <c r="A14">
        <v>4</v>
      </c>
      <c r="B14" s="5">
        <v>43191</v>
      </c>
      <c r="C14">
        <v>1013</v>
      </c>
      <c r="D14" s="10"/>
      <c r="E14" s="10"/>
    </row>
    <row r="15" spans="1:5" x14ac:dyDescent="0.35">
      <c r="A15">
        <v>5</v>
      </c>
      <c r="B15" s="5">
        <v>43221</v>
      </c>
      <c r="C15">
        <v>978</v>
      </c>
      <c r="D15" s="10"/>
      <c r="E15" s="10"/>
    </row>
    <row r="16" spans="1:5" x14ac:dyDescent="0.35">
      <c r="A16">
        <v>6</v>
      </c>
      <c r="B16" s="5">
        <v>43252</v>
      </c>
      <c r="C16">
        <v>957</v>
      </c>
      <c r="D16" s="10">
        <f>AVERAGE(C11:C22)</f>
        <v>1006.1666666666666</v>
      </c>
      <c r="E16" s="10"/>
    </row>
    <row r="17" spans="1:5" x14ac:dyDescent="0.35">
      <c r="A17">
        <v>7</v>
      </c>
      <c r="B17" s="5">
        <v>43282</v>
      </c>
      <c r="C17">
        <v>955</v>
      </c>
      <c r="D17" s="10">
        <f t="shared" ref="D17:D64" si="0">AVERAGE(C12:C23)</f>
        <v>1008.75</v>
      </c>
      <c r="E17" s="10">
        <f>AVERAGE(D16:D17)</f>
        <v>1007.4583333333333</v>
      </c>
    </row>
    <row r="18" spans="1:5" x14ac:dyDescent="0.35">
      <c r="A18">
        <v>8</v>
      </c>
      <c r="B18" s="5">
        <v>43313</v>
      </c>
      <c r="C18">
        <v>974</v>
      </c>
      <c r="D18" s="10">
        <f t="shared" si="0"/>
        <v>1009.75</v>
      </c>
      <c r="E18" s="10">
        <f t="shared" ref="E18:E64" si="1">AVERAGE(D17:D18)</f>
        <v>1009.25</v>
      </c>
    </row>
    <row r="19" spans="1:5" x14ac:dyDescent="0.35">
      <c r="A19">
        <v>9</v>
      </c>
      <c r="B19" s="5">
        <v>43344</v>
      </c>
      <c r="C19">
        <v>974</v>
      </c>
      <c r="D19" s="10">
        <f t="shared" si="0"/>
        <v>1011.8333333333334</v>
      </c>
      <c r="E19" s="10">
        <f t="shared" si="1"/>
        <v>1010.7916666666667</v>
      </c>
    </row>
    <row r="20" spans="1:5" x14ac:dyDescent="0.35">
      <c r="A20">
        <v>10</v>
      </c>
      <c r="B20" s="5">
        <v>43374</v>
      </c>
      <c r="C20">
        <v>1021</v>
      </c>
      <c r="D20" s="10">
        <f t="shared" si="0"/>
        <v>1012.75</v>
      </c>
      <c r="E20" s="10">
        <f t="shared" si="1"/>
        <v>1012.2916666666667</v>
      </c>
    </row>
    <row r="21" spans="1:5" x14ac:dyDescent="0.35">
      <c r="A21">
        <v>11</v>
      </c>
      <c r="B21" s="5">
        <v>43405</v>
      </c>
      <c r="C21">
        <v>1029</v>
      </c>
      <c r="D21" s="10">
        <f t="shared" si="0"/>
        <v>1013.9166666666666</v>
      </c>
      <c r="E21" s="10">
        <f t="shared" si="1"/>
        <v>1013.3333333333333</v>
      </c>
    </row>
    <row r="22" spans="1:5" x14ac:dyDescent="0.35">
      <c r="A22">
        <v>12</v>
      </c>
      <c r="B22" s="5">
        <v>43435</v>
      </c>
      <c r="C22">
        <v>1057</v>
      </c>
      <c r="D22" s="10">
        <f t="shared" si="0"/>
        <v>1016.8333333333334</v>
      </c>
      <c r="E22" s="10">
        <f t="shared" si="1"/>
        <v>1015.375</v>
      </c>
    </row>
    <row r="23" spans="1:5" x14ac:dyDescent="0.35">
      <c r="A23">
        <v>13</v>
      </c>
      <c r="B23" s="5">
        <v>43466</v>
      </c>
      <c r="C23">
        <v>1079</v>
      </c>
      <c r="D23" s="10">
        <f t="shared" si="0"/>
        <v>1017.1666666666666</v>
      </c>
      <c r="E23" s="10">
        <f t="shared" si="1"/>
        <v>1017</v>
      </c>
    </row>
    <row r="24" spans="1:5" x14ac:dyDescent="0.35">
      <c r="A24">
        <v>14</v>
      </c>
      <c r="B24" s="5">
        <v>43497</v>
      </c>
      <c r="C24">
        <v>1063</v>
      </c>
      <c r="D24" s="10">
        <f t="shared" si="0"/>
        <v>1017.5833333333334</v>
      </c>
      <c r="E24" s="10">
        <f t="shared" si="1"/>
        <v>1017.375</v>
      </c>
    </row>
    <row r="25" spans="1:5" x14ac:dyDescent="0.35">
      <c r="A25">
        <v>15</v>
      </c>
      <c r="B25" s="5">
        <v>43525</v>
      </c>
      <c r="C25">
        <v>1042</v>
      </c>
      <c r="D25" s="10">
        <f t="shared" si="0"/>
        <v>1018.5</v>
      </c>
      <c r="E25" s="10">
        <f t="shared" si="1"/>
        <v>1018.0416666666667</v>
      </c>
    </row>
    <row r="26" spans="1:5" x14ac:dyDescent="0.35">
      <c r="A26">
        <v>16</v>
      </c>
      <c r="B26" s="5">
        <v>43556</v>
      </c>
      <c r="C26">
        <v>1024</v>
      </c>
      <c r="D26" s="10">
        <f t="shared" si="0"/>
        <v>1018.5833333333334</v>
      </c>
      <c r="E26" s="10">
        <f t="shared" si="1"/>
        <v>1018.5416666666667</v>
      </c>
    </row>
    <row r="27" spans="1:5" x14ac:dyDescent="0.35">
      <c r="A27">
        <v>17</v>
      </c>
      <c r="B27" s="5">
        <v>43586</v>
      </c>
      <c r="C27">
        <v>992</v>
      </c>
      <c r="D27" s="10">
        <f t="shared" si="0"/>
        <v>1021.1666666666666</v>
      </c>
      <c r="E27" s="10">
        <f t="shared" si="1"/>
        <v>1019.875</v>
      </c>
    </row>
    <row r="28" spans="1:5" x14ac:dyDescent="0.35">
      <c r="A28">
        <v>18</v>
      </c>
      <c r="B28" s="5">
        <v>43617</v>
      </c>
      <c r="C28">
        <v>992</v>
      </c>
      <c r="D28" s="10">
        <f t="shared" si="0"/>
        <v>1023.5833333333334</v>
      </c>
      <c r="E28" s="10">
        <f t="shared" si="1"/>
        <v>1022.375</v>
      </c>
    </row>
    <row r="29" spans="1:5" x14ac:dyDescent="0.35">
      <c r="A29">
        <v>19</v>
      </c>
      <c r="B29" s="5">
        <v>43647</v>
      </c>
      <c r="C29">
        <v>959</v>
      </c>
      <c r="D29" s="10">
        <f t="shared" si="0"/>
        <v>1024.5833333333333</v>
      </c>
      <c r="E29" s="10">
        <f t="shared" si="1"/>
        <v>1024.0833333333333</v>
      </c>
    </row>
    <row r="30" spans="1:5" x14ac:dyDescent="0.35">
      <c r="A30">
        <v>20</v>
      </c>
      <c r="B30" s="5">
        <v>43678</v>
      </c>
      <c r="C30">
        <v>979</v>
      </c>
      <c r="D30" s="10">
        <f t="shared" si="0"/>
        <v>1026.5833333333333</v>
      </c>
      <c r="E30" s="10">
        <f t="shared" si="1"/>
        <v>1025.5833333333333</v>
      </c>
    </row>
    <row r="31" spans="1:5" x14ac:dyDescent="0.35">
      <c r="A31">
        <v>21</v>
      </c>
      <c r="B31" s="5">
        <v>43709</v>
      </c>
      <c r="C31">
        <v>985</v>
      </c>
      <c r="D31" s="10">
        <f t="shared" si="0"/>
        <v>1029.25</v>
      </c>
      <c r="E31" s="10">
        <f t="shared" si="1"/>
        <v>1027.9166666666665</v>
      </c>
    </row>
    <row r="32" spans="1:5" x14ac:dyDescent="0.35">
      <c r="A32">
        <v>22</v>
      </c>
      <c r="B32" s="5">
        <v>43739</v>
      </c>
      <c r="C32">
        <v>1022</v>
      </c>
      <c r="D32" s="10">
        <f t="shared" si="0"/>
        <v>1029.6666666666667</v>
      </c>
      <c r="E32" s="10">
        <f t="shared" si="1"/>
        <v>1029.4583333333335</v>
      </c>
    </row>
    <row r="33" spans="1:5" x14ac:dyDescent="0.35">
      <c r="A33">
        <v>23</v>
      </c>
      <c r="B33" s="5">
        <v>43770</v>
      </c>
      <c r="C33">
        <v>1060</v>
      </c>
      <c r="D33" s="10">
        <f t="shared" si="0"/>
        <v>1031.9166666666667</v>
      </c>
      <c r="E33" s="10">
        <f t="shared" si="1"/>
        <v>1030.7916666666667</v>
      </c>
    </row>
    <row r="34" spans="1:5" x14ac:dyDescent="0.35">
      <c r="A34">
        <v>24</v>
      </c>
      <c r="B34" s="5">
        <v>43800</v>
      </c>
      <c r="C34">
        <v>1086</v>
      </c>
      <c r="D34" s="10">
        <f t="shared" si="0"/>
        <v>1032.5</v>
      </c>
      <c r="E34" s="10">
        <f t="shared" si="1"/>
        <v>1032.2083333333335</v>
      </c>
    </row>
    <row r="35" spans="1:5" x14ac:dyDescent="0.35">
      <c r="A35">
        <v>25</v>
      </c>
      <c r="B35" s="5">
        <v>43831</v>
      </c>
      <c r="C35">
        <v>1091</v>
      </c>
      <c r="D35" s="10">
        <f t="shared" si="0"/>
        <v>1036</v>
      </c>
      <c r="E35" s="10">
        <f t="shared" si="1"/>
        <v>1034.25</v>
      </c>
    </row>
    <row r="36" spans="1:5" x14ac:dyDescent="0.35">
      <c r="A36">
        <v>26</v>
      </c>
      <c r="B36" s="5">
        <v>43862</v>
      </c>
      <c r="C36">
        <v>1087</v>
      </c>
      <c r="D36" s="10">
        <f t="shared" si="0"/>
        <v>1038.9166666666667</v>
      </c>
      <c r="E36" s="10">
        <f t="shared" si="1"/>
        <v>1037.4583333333335</v>
      </c>
    </row>
    <row r="37" spans="1:5" x14ac:dyDescent="0.35">
      <c r="A37">
        <v>27</v>
      </c>
      <c r="B37" s="5">
        <v>43891</v>
      </c>
      <c r="C37">
        <v>1074</v>
      </c>
      <c r="D37" s="10">
        <f t="shared" si="0"/>
        <v>1042.1666666666667</v>
      </c>
      <c r="E37" s="10">
        <f t="shared" si="1"/>
        <v>1040.5416666666667</v>
      </c>
    </row>
    <row r="38" spans="1:5" x14ac:dyDescent="0.35">
      <c r="A38">
        <v>28</v>
      </c>
      <c r="B38" s="5">
        <v>43922</v>
      </c>
      <c r="C38">
        <v>1029</v>
      </c>
      <c r="D38" s="10">
        <f t="shared" si="0"/>
        <v>1043.5</v>
      </c>
      <c r="E38" s="10">
        <f t="shared" si="1"/>
        <v>1042.8333333333335</v>
      </c>
    </row>
    <row r="39" spans="1:5" x14ac:dyDescent="0.35">
      <c r="A39">
        <v>29</v>
      </c>
      <c r="B39" s="5">
        <v>43952</v>
      </c>
      <c r="C39">
        <v>1019</v>
      </c>
      <c r="D39" s="10">
        <f t="shared" si="0"/>
        <v>1044.3333333333333</v>
      </c>
      <c r="E39" s="10">
        <f t="shared" si="1"/>
        <v>1043.9166666666665</v>
      </c>
    </row>
    <row r="40" spans="1:5" x14ac:dyDescent="0.35">
      <c r="A40">
        <v>30</v>
      </c>
      <c r="B40" s="5">
        <v>43983</v>
      </c>
      <c r="C40">
        <v>999</v>
      </c>
      <c r="D40" s="10">
        <f t="shared" si="0"/>
        <v>1044.5833333333333</v>
      </c>
      <c r="E40" s="10">
        <f t="shared" si="1"/>
        <v>1044.4583333333333</v>
      </c>
    </row>
    <row r="41" spans="1:5" x14ac:dyDescent="0.35">
      <c r="A41">
        <v>31</v>
      </c>
      <c r="B41" s="5">
        <v>44013</v>
      </c>
      <c r="C41">
        <v>1001</v>
      </c>
      <c r="D41" s="10">
        <f t="shared" si="0"/>
        <v>1046.4166666666667</v>
      </c>
      <c r="E41" s="10">
        <f t="shared" si="1"/>
        <v>1045.5</v>
      </c>
    </row>
    <row r="42" spans="1:5" x14ac:dyDescent="0.35">
      <c r="A42">
        <v>32</v>
      </c>
      <c r="B42" s="5">
        <v>44044</v>
      </c>
      <c r="C42">
        <v>1014</v>
      </c>
      <c r="D42" s="10">
        <f t="shared" si="0"/>
        <v>1048.4166666666667</v>
      </c>
      <c r="E42" s="10">
        <f t="shared" si="1"/>
        <v>1047.4166666666667</v>
      </c>
    </row>
    <row r="43" spans="1:5" x14ac:dyDescent="0.35">
      <c r="A43">
        <v>33</v>
      </c>
      <c r="B43" s="5">
        <v>44075</v>
      </c>
      <c r="C43">
        <v>1024</v>
      </c>
      <c r="D43" s="10">
        <f t="shared" si="0"/>
        <v>1050.1666666666667</v>
      </c>
      <c r="E43" s="10">
        <f t="shared" si="1"/>
        <v>1049.2916666666667</v>
      </c>
    </row>
    <row r="44" spans="1:5" x14ac:dyDescent="0.35">
      <c r="A44">
        <v>34</v>
      </c>
      <c r="B44" s="5">
        <v>44105</v>
      </c>
      <c r="C44">
        <v>1038</v>
      </c>
      <c r="D44" s="10">
        <f t="shared" si="0"/>
        <v>1052.8333333333333</v>
      </c>
      <c r="E44" s="10">
        <f t="shared" si="1"/>
        <v>1051.5</v>
      </c>
    </row>
    <row r="45" spans="1:5" x14ac:dyDescent="0.35">
      <c r="A45">
        <v>35</v>
      </c>
      <c r="B45" s="5">
        <v>44136</v>
      </c>
      <c r="C45">
        <v>1070</v>
      </c>
      <c r="D45" s="10">
        <f t="shared" si="0"/>
        <v>1054.25</v>
      </c>
      <c r="E45" s="10">
        <f t="shared" si="1"/>
        <v>1053.5416666666665</v>
      </c>
    </row>
    <row r="46" spans="1:5" x14ac:dyDescent="0.35">
      <c r="A46">
        <v>36</v>
      </c>
      <c r="B46" s="5">
        <v>44166</v>
      </c>
      <c r="C46">
        <v>1089</v>
      </c>
      <c r="D46" s="10">
        <f t="shared" si="0"/>
        <v>1056.5</v>
      </c>
      <c r="E46" s="10">
        <f t="shared" si="1"/>
        <v>1055.375</v>
      </c>
    </row>
    <row r="47" spans="1:5" x14ac:dyDescent="0.35">
      <c r="A47">
        <v>37</v>
      </c>
      <c r="B47" s="5">
        <v>44197</v>
      </c>
      <c r="C47">
        <v>1113</v>
      </c>
      <c r="D47" s="10">
        <f t="shared" si="0"/>
        <v>1057.5</v>
      </c>
      <c r="E47" s="10">
        <f t="shared" si="1"/>
        <v>1057</v>
      </c>
    </row>
    <row r="48" spans="1:5" x14ac:dyDescent="0.35">
      <c r="A48">
        <v>38</v>
      </c>
      <c r="B48" s="5">
        <v>44228</v>
      </c>
      <c r="C48">
        <v>1111</v>
      </c>
      <c r="D48" s="10">
        <f t="shared" si="0"/>
        <v>1059.4166666666667</v>
      </c>
      <c r="E48" s="10">
        <f t="shared" si="1"/>
        <v>1058.4583333333335</v>
      </c>
    </row>
    <row r="49" spans="1:11" x14ac:dyDescent="0.35">
      <c r="A49">
        <v>39</v>
      </c>
      <c r="B49" s="5">
        <v>44256</v>
      </c>
      <c r="C49">
        <v>1095</v>
      </c>
      <c r="D49" s="10">
        <f t="shared" si="0"/>
        <v>1061.3333333333333</v>
      </c>
      <c r="E49" s="10">
        <f t="shared" si="1"/>
        <v>1060.375</v>
      </c>
    </row>
    <row r="50" spans="1:11" x14ac:dyDescent="0.35">
      <c r="A50">
        <v>40</v>
      </c>
      <c r="B50" s="5">
        <v>44287</v>
      </c>
      <c r="C50">
        <v>1061</v>
      </c>
      <c r="D50" s="10">
        <f t="shared" si="0"/>
        <v>1063.0833333333333</v>
      </c>
      <c r="E50" s="10">
        <f t="shared" si="1"/>
        <v>1062.2083333333333</v>
      </c>
    </row>
    <row r="51" spans="1:11" x14ac:dyDescent="0.35">
      <c r="A51">
        <v>41</v>
      </c>
      <c r="B51" s="5">
        <v>44317</v>
      </c>
      <c r="C51">
        <v>1036</v>
      </c>
      <c r="D51" s="10">
        <f t="shared" si="0"/>
        <v>1065.5</v>
      </c>
      <c r="E51" s="10">
        <f t="shared" si="1"/>
        <v>1064.2916666666665</v>
      </c>
    </row>
    <row r="52" spans="1:11" ht="18.5" x14ac:dyDescent="0.45">
      <c r="A52">
        <v>42</v>
      </c>
      <c r="B52" s="5">
        <v>44348</v>
      </c>
      <c r="C52">
        <v>1026</v>
      </c>
      <c r="D52" s="10">
        <f t="shared" si="0"/>
        <v>1066.1666666666667</v>
      </c>
      <c r="E52" s="10">
        <f t="shared" si="1"/>
        <v>1065.8333333333335</v>
      </c>
      <c r="K52" s="9" t="s">
        <v>34</v>
      </c>
    </row>
    <row r="53" spans="1:11" ht="18.5" x14ac:dyDescent="0.45">
      <c r="A53">
        <v>43</v>
      </c>
      <c r="B53" s="5">
        <v>44378</v>
      </c>
      <c r="C53">
        <v>1013</v>
      </c>
      <c r="D53" s="10">
        <f t="shared" si="0"/>
        <v>1067.25</v>
      </c>
      <c r="E53" s="10">
        <f t="shared" si="1"/>
        <v>1066.7083333333335</v>
      </c>
      <c r="K53" s="9" t="s">
        <v>35</v>
      </c>
    </row>
    <row r="54" spans="1:11" x14ac:dyDescent="0.35">
      <c r="A54">
        <v>44</v>
      </c>
      <c r="B54" s="5">
        <v>44409</v>
      </c>
      <c r="C54">
        <v>1037</v>
      </c>
      <c r="D54" s="10">
        <f t="shared" si="0"/>
        <v>1067.25</v>
      </c>
      <c r="E54" s="10">
        <f t="shared" si="1"/>
        <v>1067.25</v>
      </c>
    </row>
    <row r="55" spans="1:11" ht="18.5" x14ac:dyDescent="0.45">
      <c r="A55">
        <v>45</v>
      </c>
      <c r="B55" s="5">
        <v>44440</v>
      </c>
      <c r="C55">
        <v>1047</v>
      </c>
      <c r="D55" s="10">
        <f t="shared" si="0"/>
        <v>1068.1666666666667</v>
      </c>
      <c r="E55" s="10">
        <f t="shared" si="1"/>
        <v>1067.7083333333335</v>
      </c>
      <c r="K55" s="9" t="s">
        <v>36</v>
      </c>
    </row>
    <row r="56" spans="1:11" x14ac:dyDescent="0.35">
      <c r="A56">
        <v>46</v>
      </c>
      <c r="B56" s="5">
        <v>44470</v>
      </c>
      <c r="C56">
        <v>1059</v>
      </c>
      <c r="D56" s="10">
        <f t="shared" si="0"/>
        <v>1069.1666666666667</v>
      </c>
      <c r="E56" s="10">
        <f t="shared" si="1"/>
        <v>1068.6666666666667</v>
      </c>
    </row>
    <row r="57" spans="1:11" x14ac:dyDescent="0.35">
      <c r="A57">
        <v>47</v>
      </c>
      <c r="B57" s="5">
        <v>44501</v>
      </c>
      <c r="C57">
        <v>1099</v>
      </c>
      <c r="D57" s="10">
        <f t="shared" si="0"/>
        <v>1069</v>
      </c>
      <c r="E57" s="10">
        <f t="shared" si="1"/>
        <v>1069.0833333333335</v>
      </c>
    </row>
    <row r="58" spans="1:11" x14ac:dyDescent="0.35">
      <c r="A58">
        <v>48</v>
      </c>
      <c r="B58" s="5">
        <v>44531</v>
      </c>
      <c r="C58">
        <v>1097</v>
      </c>
      <c r="D58" s="10">
        <f t="shared" si="0"/>
        <v>1069.4166666666667</v>
      </c>
      <c r="E58" s="10">
        <f t="shared" si="1"/>
        <v>1069.2083333333335</v>
      </c>
    </row>
    <row r="59" spans="1:11" x14ac:dyDescent="0.35">
      <c r="A59">
        <v>49</v>
      </c>
      <c r="B59" s="5">
        <v>44562</v>
      </c>
      <c r="C59">
        <v>1126</v>
      </c>
      <c r="D59" s="10">
        <f t="shared" si="0"/>
        <v>1068.9166666666667</v>
      </c>
      <c r="E59" s="10">
        <f t="shared" si="1"/>
        <v>1069.1666666666667</v>
      </c>
    </row>
    <row r="60" spans="1:11" x14ac:dyDescent="0.35">
      <c r="A60">
        <v>50</v>
      </c>
      <c r="B60" s="5">
        <v>44593</v>
      </c>
      <c r="C60">
        <v>1111</v>
      </c>
      <c r="D60" s="10">
        <f t="shared" si="0"/>
        <v>1069.9166666666667</v>
      </c>
      <c r="E60" s="10">
        <f t="shared" si="1"/>
        <v>1069.4166666666667</v>
      </c>
    </row>
    <row r="61" spans="1:11" x14ac:dyDescent="0.35">
      <c r="A61">
        <v>51</v>
      </c>
      <c r="B61" s="5">
        <v>44621</v>
      </c>
      <c r="C61">
        <v>1106</v>
      </c>
      <c r="D61" s="10">
        <f t="shared" si="0"/>
        <v>1070.8333333333333</v>
      </c>
      <c r="E61" s="10">
        <f t="shared" si="1"/>
        <v>1070.375</v>
      </c>
    </row>
    <row r="62" spans="1:11" x14ac:dyDescent="0.35">
      <c r="A62">
        <v>52</v>
      </c>
      <c r="B62" s="5">
        <v>44652</v>
      </c>
      <c r="C62">
        <v>1073</v>
      </c>
      <c r="D62" s="10">
        <f t="shared" si="0"/>
        <v>1073.1666666666667</v>
      </c>
      <c r="E62" s="10">
        <f t="shared" si="1"/>
        <v>1072</v>
      </c>
    </row>
    <row r="63" spans="1:11" x14ac:dyDescent="0.35">
      <c r="A63">
        <v>53</v>
      </c>
      <c r="B63" s="5">
        <v>44682</v>
      </c>
      <c r="C63">
        <v>1034</v>
      </c>
      <c r="D63" s="10">
        <f t="shared" si="0"/>
        <v>1073.3333333333333</v>
      </c>
      <c r="E63" s="10">
        <f t="shared" si="1"/>
        <v>1073.25</v>
      </c>
    </row>
    <row r="64" spans="1:11" x14ac:dyDescent="0.35">
      <c r="A64">
        <v>54</v>
      </c>
      <c r="B64" s="5">
        <v>44713</v>
      </c>
      <c r="C64">
        <v>1031</v>
      </c>
      <c r="D64" s="10">
        <f t="shared" si="0"/>
        <v>1075.75</v>
      </c>
      <c r="E64" s="10">
        <f t="shared" si="1"/>
        <v>1074.5416666666665</v>
      </c>
    </row>
    <row r="65" spans="1:5" x14ac:dyDescent="0.35">
      <c r="A65">
        <v>55</v>
      </c>
      <c r="B65" s="5">
        <v>44743</v>
      </c>
      <c r="C65">
        <v>1007</v>
      </c>
      <c r="D65" s="10"/>
      <c r="E65" s="10"/>
    </row>
    <row r="66" spans="1:5" x14ac:dyDescent="0.35">
      <c r="A66">
        <v>56</v>
      </c>
      <c r="B66" s="5">
        <v>44774</v>
      </c>
      <c r="C66">
        <v>1049</v>
      </c>
      <c r="D66" s="10"/>
      <c r="E66" s="10"/>
    </row>
    <row r="67" spans="1:5" x14ac:dyDescent="0.35">
      <c r="A67">
        <v>57</v>
      </c>
      <c r="B67" s="5">
        <v>44805</v>
      </c>
      <c r="C67">
        <v>1058</v>
      </c>
      <c r="D67" s="10"/>
      <c r="E67" s="10"/>
    </row>
    <row r="68" spans="1:5" x14ac:dyDescent="0.35">
      <c r="A68">
        <v>58</v>
      </c>
      <c r="B68" s="5">
        <v>44835</v>
      </c>
      <c r="C68">
        <v>1087</v>
      </c>
      <c r="D68" s="10"/>
      <c r="E68" s="10"/>
    </row>
    <row r="69" spans="1:5" x14ac:dyDescent="0.35">
      <c r="A69">
        <v>59</v>
      </c>
      <c r="B69" s="5">
        <v>44866</v>
      </c>
      <c r="C69">
        <v>1101</v>
      </c>
      <c r="D69" s="10"/>
      <c r="E69" s="10"/>
    </row>
    <row r="70" spans="1:5" x14ac:dyDescent="0.35">
      <c r="A70">
        <v>60</v>
      </c>
      <c r="B70" s="5">
        <v>44896</v>
      </c>
      <c r="C70">
        <v>1126</v>
      </c>
      <c r="D70" s="10"/>
      <c r="E70" s="1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3655-9C72-498C-92EC-1F14FD4E40C5}">
  <dimension ref="A1:H35"/>
  <sheetViews>
    <sheetView workbookViewId="0"/>
  </sheetViews>
  <sheetFormatPr defaultRowHeight="14.5" x14ac:dyDescent="0.35"/>
  <cols>
    <col min="5" max="5" width="25" bestFit="1" customWidth="1"/>
  </cols>
  <sheetData>
    <row r="1" spans="1:8" x14ac:dyDescent="0.35">
      <c r="A1" t="s">
        <v>22</v>
      </c>
      <c r="B1" t="s">
        <v>23</v>
      </c>
    </row>
    <row r="2" spans="1:8" x14ac:dyDescent="0.35">
      <c r="A2">
        <v>69</v>
      </c>
      <c r="B2">
        <v>35</v>
      </c>
    </row>
    <row r="3" spans="1:8" x14ac:dyDescent="0.35">
      <c r="A3">
        <v>65</v>
      </c>
      <c r="B3">
        <v>51</v>
      </c>
    </row>
    <row r="4" spans="1:8" x14ac:dyDescent="0.35">
      <c r="A4">
        <v>54</v>
      </c>
      <c r="B4">
        <v>69</v>
      </c>
    </row>
    <row r="5" spans="1:8" x14ac:dyDescent="0.35">
      <c r="A5">
        <v>66</v>
      </c>
      <c r="B5">
        <v>15</v>
      </c>
    </row>
    <row r="6" spans="1:8" x14ac:dyDescent="0.35">
      <c r="A6">
        <v>68</v>
      </c>
      <c r="B6">
        <v>63</v>
      </c>
    </row>
    <row r="7" spans="1:8" x14ac:dyDescent="0.35">
      <c r="A7">
        <v>74</v>
      </c>
      <c r="B7">
        <v>48</v>
      </c>
    </row>
    <row r="8" spans="1:8" x14ac:dyDescent="0.35">
      <c r="A8">
        <v>66</v>
      </c>
      <c r="B8">
        <v>46</v>
      </c>
    </row>
    <row r="9" spans="1:8" x14ac:dyDescent="0.35">
      <c r="A9">
        <v>68</v>
      </c>
      <c r="B9">
        <v>26</v>
      </c>
      <c r="F9" t="s">
        <v>22</v>
      </c>
      <c r="G9" t="s">
        <v>23</v>
      </c>
      <c r="H9" t="s">
        <v>24</v>
      </c>
    </row>
    <row r="10" spans="1:8" x14ac:dyDescent="0.35">
      <c r="A10">
        <v>81</v>
      </c>
      <c r="B10">
        <v>19</v>
      </c>
      <c r="E10" t="s">
        <v>25</v>
      </c>
      <c r="F10">
        <f>COUNT(A2:A35)</f>
        <v>30</v>
      </c>
      <c r="G10">
        <f>COUNT(B2:B35)</f>
        <v>34</v>
      </c>
      <c r="H10">
        <f>COUNT(A2:B35)</f>
        <v>64</v>
      </c>
    </row>
    <row r="11" spans="1:8" x14ac:dyDescent="0.35">
      <c r="A11">
        <v>74</v>
      </c>
      <c r="B11">
        <v>11</v>
      </c>
      <c r="E11" t="s">
        <v>26</v>
      </c>
      <c r="F11">
        <f>AVERAGE(A2:A35)</f>
        <v>65.2</v>
      </c>
      <c r="G11">
        <f>AVERAGE(B2:B35)</f>
        <v>45.529411764705884</v>
      </c>
      <c r="H11">
        <f>AVERAGE(A2:B35)</f>
        <v>54.75</v>
      </c>
    </row>
    <row r="12" spans="1:8" x14ac:dyDescent="0.35">
      <c r="A12">
        <v>53</v>
      </c>
      <c r="B12">
        <v>43</v>
      </c>
      <c r="E12" t="s">
        <v>27</v>
      </c>
      <c r="F12">
        <f>_xlfn.STDEV.S(A2:A35)</f>
        <v>10.090623848661316</v>
      </c>
      <c r="G12">
        <f>_xlfn.STDEV.S(B2:B35)</f>
        <v>20.050293270911389</v>
      </c>
      <c r="H12">
        <f>_xlfn.STDEV.S(A2:B35)</f>
        <v>18.850287354131588</v>
      </c>
    </row>
    <row r="13" spans="1:8" x14ac:dyDescent="0.35">
      <c r="A13">
        <v>60</v>
      </c>
      <c r="B13">
        <v>32</v>
      </c>
      <c r="E13" t="s">
        <v>28</v>
      </c>
      <c r="F13">
        <f>MEDIAN(A2:A35)</f>
        <v>66.5</v>
      </c>
      <c r="G13">
        <f>MEDIAN(B2:B35)</f>
        <v>47</v>
      </c>
      <c r="H13">
        <f>MEDIAN(A2:B35)</f>
        <v>59.5</v>
      </c>
    </row>
    <row r="14" spans="1:8" x14ac:dyDescent="0.35">
      <c r="A14">
        <v>67</v>
      </c>
      <c r="B14">
        <v>53</v>
      </c>
      <c r="E14" t="s">
        <v>29</v>
      </c>
      <c r="F14">
        <f>MIN(A2:A35)</f>
        <v>44</v>
      </c>
      <c r="G14">
        <f>MIN(B2:B35)</f>
        <v>5</v>
      </c>
      <c r="H14">
        <f>MIN(A2:B35)</f>
        <v>5</v>
      </c>
    </row>
    <row r="15" spans="1:8" x14ac:dyDescent="0.35">
      <c r="A15">
        <v>68</v>
      </c>
      <c r="B15">
        <v>62</v>
      </c>
      <c r="E15" t="s">
        <v>30</v>
      </c>
      <c r="F15">
        <f>MAX(A2:A35)</f>
        <v>84</v>
      </c>
      <c r="G15">
        <f>MAX(B2:B35)</f>
        <v>84</v>
      </c>
      <c r="H15">
        <f>MAX(A2:B35)</f>
        <v>84</v>
      </c>
    </row>
    <row r="16" spans="1:8" x14ac:dyDescent="0.35">
      <c r="A16">
        <v>63</v>
      </c>
      <c r="B16">
        <v>54</v>
      </c>
      <c r="E16" t="s">
        <v>31</v>
      </c>
      <c r="F16">
        <f>F15-F14</f>
        <v>40</v>
      </c>
      <c r="G16">
        <f>G15-G14</f>
        <v>79</v>
      </c>
      <c r="H16">
        <f>H15-H14</f>
        <v>79</v>
      </c>
    </row>
    <row r="17" spans="1:8" x14ac:dyDescent="0.35">
      <c r="A17">
        <v>44</v>
      </c>
      <c r="B17">
        <v>63</v>
      </c>
      <c r="E17" t="s">
        <v>32</v>
      </c>
      <c r="F17">
        <f>_xlfn.QUARTILE.EXC(A2:A35,3)-_xlfn.QUARTILE.EXC(A2:A35,1)</f>
        <v>15.5</v>
      </c>
      <c r="G17">
        <f>_xlfn.QUARTILE.EXC(B2:B35,3)-_xlfn.QUARTILE.EXC(B2:B35,1)</f>
        <v>29.5</v>
      </c>
      <c r="H17">
        <f>_xlfn.QUARTILE.EXC(A2:B35,3)-_xlfn.QUARTILE.EXC(A2:B35,1)</f>
        <v>24.75</v>
      </c>
    </row>
    <row r="18" spans="1:8" x14ac:dyDescent="0.35">
      <c r="A18">
        <v>75</v>
      </c>
      <c r="B18">
        <v>48</v>
      </c>
    </row>
    <row r="19" spans="1:8" x14ac:dyDescent="0.35">
      <c r="A19">
        <v>84</v>
      </c>
      <c r="B19">
        <v>75</v>
      </c>
    </row>
    <row r="20" spans="1:8" x14ac:dyDescent="0.35">
      <c r="A20">
        <v>52</v>
      </c>
      <c r="B20">
        <v>59</v>
      </c>
    </row>
    <row r="21" spans="1:8" x14ac:dyDescent="0.35">
      <c r="A21">
        <v>71</v>
      </c>
      <c r="B21">
        <v>41</v>
      </c>
    </row>
    <row r="22" spans="1:8" x14ac:dyDescent="0.35">
      <c r="A22">
        <v>53</v>
      </c>
      <c r="B22">
        <v>44</v>
      </c>
    </row>
    <row r="23" spans="1:8" x14ac:dyDescent="0.35">
      <c r="A23">
        <v>77</v>
      </c>
      <c r="B23">
        <v>30</v>
      </c>
    </row>
    <row r="24" spans="1:8" x14ac:dyDescent="0.35">
      <c r="A24">
        <v>70</v>
      </c>
      <c r="B24">
        <v>37</v>
      </c>
    </row>
    <row r="25" spans="1:8" x14ac:dyDescent="0.35">
      <c r="A25">
        <v>58</v>
      </c>
      <c r="B25">
        <v>61</v>
      </c>
    </row>
    <row r="26" spans="1:8" x14ac:dyDescent="0.35">
      <c r="A26">
        <v>58</v>
      </c>
      <c r="B26">
        <v>60</v>
      </c>
    </row>
    <row r="27" spans="1:8" x14ac:dyDescent="0.35">
      <c r="A27">
        <v>80</v>
      </c>
      <c r="B27">
        <v>31</v>
      </c>
    </row>
    <row r="28" spans="1:8" x14ac:dyDescent="0.35">
      <c r="A28">
        <v>64</v>
      </c>
      <c r="B28">
        <v>84</v>
      </c>
    </row>
    <row r="29" spans="1:8" x14ac:dyDescent="0.35">
      <c r="A29">
        <v>72</v>
      </c>
      <c r="B29">
        <v>32</v>
      </c>
    </row>
    <row r="30" spans="1:8" x14ac:dyDescent="0.35">
      <c r="A30">
        <v>53</v>
      </c>
      <c r="B30">
        <v>11</v>
      </c>
    </row>
    <row r="31" spans="1:8" x14ac:dyDescent="0.35">
      <c r="A31">
        <v>49</v>
      </c>
      <c r="B31">
        <v>71</v>
      </c>
    </row>
    <row r="32" spans="1:8" x14ac:dyDescent="0.35">
      <c r="B32">
        <v>5</v>
      </c>
    </row>
    <row r="33" spans="2:2" x14ac:dyDescent="0.35">
      <c r="B33">
        <v>37</v>
      </c>
    </row>
    <row r="34" spans="2:2" x14ac:dyDescent="0.35">
      <c r="B34">
        <v>71</v>
      </c>
    </row>
    <row r="35" spans="2:2" x14ac:dyDescent="0.35">
      <c r="B35">
        <v>61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F3779B66BC3F4DAB5120B5380EDEF8" ma:contentTypeVersion="18" ma:contentTypeDescription="Create a new document." ma:contentTypeScope="" ma:versionID="8ae092d07ffbfac35db9a706e6a16320">
  <xsd:schema xmlns:xsd="http://www.w3.org/2001/XMLSchema" xmlns:xs="http://www.w3.org/2001/XMLSchema" xmlns:p="http://schemas.microsoft.com/office/2006/metadata/properties" xmlns:ns2="34cc328e-f486-4d73-9163-9d26e8cf8d6e" xmlns:ns3="686c71fa-6862-4526-b774-d8add1c96eee" targetNamespace="http://schemas.microsoft.com/office/2006/metadata/properties" ma:root="true" ma:fieldsID="def645eeacd6dc86ff9e2f96a401f5c2" ns2:_="" ns3:_="">
    <xsd:import namespace="34cc328e-f486-4d73-9163-9d26e8cf8d6e"/>
    <xsd:import namespace="686c71fa-6862-4526-b774-d8add1c96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c328e-f486-4d73-9163-9d26e8cf8d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527b111-6301-4708-b04d-ee8721e22c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c71fa-6862-4526-b774-d8add1c96e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df30f02-129b-4a62-8c40-f2d44661747b}" ma:internalName="TaxCatchAll" ma:showField="CatchAllData" ma:web="686c71fa-6862-4526-b774-d8add1c96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c328e-f486-4d73-9163-9d26e8cf8d6e">
      <Terms xmlns="http://schemas.microsoft.com/office/infopath/2007/PartnerControls"/>
    </lcf76f155ced4ddcb4097134ff3c332f>
    <TaxCatchAll xmlns="686c71fa-6862-4526-b774-d8add1c96eee" xsi:nil="true"/>
  </documentManagement>
</p:properties>
</file>

<file path=customXml/itemProps1.xml><?xml version="1.0" encoding="utf-8"?>
<ds:datastoreItem xmlns:ds="http://schemas.openxmlformats.org/officeDocument/2006/customXml" ds:itemID="{C1F378D9-0FBC-4EE8-970E-4E249D36EF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F26C0B-4427-4152-9ABA-736B4A81E4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cc328e-f486-4d73-9163-9d26e8cf8d6e"/>
    <ds:schemaRef ds:uri="686c71fa-6862-4526-b774-d8add1c96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FCA92F-9FA2-448E-ADFA-F4937D02565D}">
  <ds:schemaRefs>
    <ds:schemaRef ds:uri="http://schemas.microsoft.com/office/2006/metadata/properties"/>
    <ds:schemaRef ds:uri="http://schemas.microsoft.com/office/infopath/2007/PartnerControls"/>
    <ds:schemaRef ds:uri="34cc328e-f486-4d73-9163-9d26e8cf8d6e"/>
    <ds:schemaRef ds:uri="686c71fa-6862-4526-b774-d8add1c96e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Numbers</vt:lpstr>
      <vt:lpstr>Inflation</vt:lpstr>
      <vt:lpstr>Moving Averages</vt:lpstr>
      <vt:lpstr>Descriptive Statistics Review</vt:lpstr>
      <vt:lpstr>Solutions Index Numbers</vt:lpstr>
      <vt:lpstr>Solutions Inflation</vt:lpstr>
      <vt:lpstr>Solutions Moving Averages</vt:lpstr>
      <vt:lpstr>SolutionsDescriptive Statistics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Phillip Roberts (LIB - Staff)</dc:creator>
  <cp:keywords/>
  <dc:description/>
  <cp:lastModifiedBy>Phillip Roberts (LLE - Staff)</cp:lastModifiedBy>
  <cp:revision/>
  <dcterms:created xsi:type="dcterms:W3CDTF">2025-03-19T09:14:39Z</dcterms:created>
  <dcterms:modified xsi:type="dcterms:W3CDTF">2026-03-13T13:00:24Z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0x01010069F3779B66BC3F4DAB5120B5380EDEF8</vt:lpwstr>
  </property>
  <property fmtid="{D5CDD505-2E9C-101B-9397-08002B2CF9AE}" pid="3" name="MediaServiceImageTags">
    <vt:lpwstr/>
  </property>
</Properties>
</file>